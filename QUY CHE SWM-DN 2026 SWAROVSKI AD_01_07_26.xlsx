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G:\.shortcut-targets-by-id\11WVfRw8JMaJRw8Br1qgFVZCQj_JiFlJz\CONG VIEC CUA PHU\CONG VIEC NGUYEN THI PHU\2.LƯƠNG\1 DU LIEU LUONG\0 30.SWM-DN (21-20)\"/>
    </mc:Choice>
  </mc:AlternateContent>
  <xr:revisionPtr revIDLastSave="0" documentId="13_ncr:1_{FF4F4712-8D41-4293-A33D-40ABB93BA033}" xr6:coauthVersionLast="47" xr6:coauthVersionMax="47" xr10:uidLastSave="{00000000-0000-0000-0000-000000000000}"/>
  <bookViews>
    <workbookView xWindow="-110" yWindow="-110" windowWidth="19420" windowHeight="10300" activeTab="3" xr2:uid="{00000000-000D-0000-FFFF-FFFF00000000}"/>
  </bookViews>
  <sheets>
    <sheet name="CHE DO 2025)" sheetId="18" r:id="rId1"/>
    <sheet name="LABOR COST " sheetId="16" r:id="rId2"/>
    <sheet name="CHE DO 2024" sheetId="11" state="hidden" r:id="rId3"/>
    <sheet name="QUY CHE 2026" sheetId="19" r:id="rId4"/>
    <sheet name="Sheet1" sheetId="17" r:id="rId5"/>
    <sheet name="CD TUYEN DUNG" sheetId="13" state="hidden" r:id="rId6"/>
    <sheet name="CHE DO 2020" sheetId="8" state="hidden" r:id="rId7"/>
    <sheet name="NAM 2019" sheetId="10"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0DATA_DATA2_L">NA()</definedName>
    <definedName name="__IntlFixup" hidden="1">TRUE</definedName>
    <definedName name="__NSO2" localSheetId="1" hidden="1">{"'Sheet1'!$L$16"}</definedName>
    <definedName name="__NSO2" hidden="1">{"'Sheet1'!$L$16"}</definedName>
    <definedName name="_0">NA()</definedName>
    <definedName name="_01_11_2001">NA()</definedName>
    <definedName name="_1CAP002">NA()</definedName>
    <definedName name="_2STREO7">NA()</definedName>
    <definedName name="_4GOIC01">NA()</definedName>
    <definedName name="_4OSLCTT">NA()</definedName>
    <definedName name="_6BNTTTH">NA()</definedName>
    <definedName name="_6DCTTBO">NA()</definedName>
    <definedName name="_6DD24TT">NA()</definedName>
    <definedName name="_6FCOTBU">NA()</definedName>
    <definedName name="_6LATUBU">NA()</definedName>
    <definedName name="_6SDTT24">NA()</definedName>
    <definedName name="_6TBUDTT">NA()</definedName>
    <definedName name="_6TDDDTT">NA()</definedName>
    <definedName name="_6TLTTTH">NA()</definedName>
    <definedName name="_6TUBUTT">NA()</definedName>
    <definedName name="_6UCLVIS">NA()</definedName>
    <definedName name="_7DNCABC">NA()</definedName>
    <definedName name="_7HDCTBU">NA()</definedName>
    <definedName name="_7PKTUBU">NA()</definedName>
    <definedName name="_7TBHT20">NA()</definedName>
    <definedName name="_7TBHT30">NA()</definedName>
    <definedName name="_7TDCABC">NA()</definedName>
    <definedName name="_a">NA()</definedName>
    <definedName name="_A65700">NA()</definedName>
    <definedName name="_A65800">NA()</definedName>
    <definedName name="_A66000">NA()</definedName>
    <definedName name="_A67000">NA()</definedName>
    <definedName name="_A68000">NA()</definedName>
    <definedName name="_A70000">NA()</definedName>
    <definedName name="_A75000">NA()</definedName>
    <definedName name="_A85000">NA()</definedName>
    <definedName name="_abb91">NA()</definedName>
    <definedName name="_Bm2" localSheetId="1" hidden="1">{"'Sheet1'!$L$16"}</definedName>
    <definedName name="_Bm2" hidden="1">{"'Sheet1'!$L$16"}</definedName>
    <definedName name="_coc400">NA()</definedName>
    <definedName name="_d">NA()</definedName>
    <definedName name="_dao1">NA()</definedName>
    <definedName name="_dao2">NA()</definedName>
    <definedName name="_dap2">NA()</definedName>
    <definedName name="_day1">NA()</definedName>
    <definedName name="_day2">NA()</definedName>
    <definedName name="_dbu1">NA()</definedName>
    <definedName name="_dbu2">NA()</definedName>
    <definedName name="_dgt100">NA()</definedName>
    <definedName name="_doi3">NA()</definedName>
    <definedName name="_e">NA()</definedName>
    <definedName name="_f">NA()</definedName>
    <definedName name="_Fill" localSheetId="0" hidden="1">#REF!</definedName>
    <definedName name="_Fill" localSheetId="1" hidden="1">#REF!</definedName>
    <definedName name="_Fill" hidden="1">#REF!</definedName>
    <definedName name="_xlnm._FilterDatabase" localSheetId="2" hidden="1">#REF!</definedName>
    <definedName name="_xlnm._FilterDatabase" localSheetId="0" hidden="1">#REF!</definedName>
    <definedName name="_xlnm._FilterDatabase" localSheetId="1" hidden="1">#REF!</definedName>
    <definedName name="_xlnm._FilterDatabase" localSheetId="3" hidden="1">#REF!</definedName>
    <definedName name="_xlnm._FilterDatabase" hidden="1">#REF!</definedName>
    <definedName name="_g">NA()</definedName>
    <definedName name="_GID1">NA()</definedName>
    <definedName name="_h">NA()</definedName>
    <definedName name="_h1" localSheetId="1" hidden="1">{"'Sheet1'!$L$16"}</definedName>
    <definedName name="_h1" hidden="1">{"'Sheet1'!$L$16"}</definedName>
    <definedName name="_han23">NA()</definedName>
    <definedName name="_hct0405">NA()</definedName>
    <definedName name="_i">NA()</definedName>
    <definedName name="_j">NA()</definedName>
    <definedName name="_k">NA()</definedName>
    <definedName name="_Key1" localSheetId="2" hidden="1">#REF!</definedName>
    <definedName name="_Key1" localSheetId="0" hidden="1">#REF!</definedName>
    <definedName name="_Key1" localSheetId="1" hidden="1">#REF!</definedName>
    <definedName name="_Key1" localSheetId="3" hidden="1">#REF!</definedName>
    <definedName name="_Key1" hidden="1">#REF!</definedName>
    <definedName name="_Key2" localSheetId="0" hidden="1">#REF!</definedName>
    <definedName name="_Key2" hidden="1">#REF!</definedName>
    <definedName name="_l">NA()</definedName>
    <definedName name="_m">NA()</definedName>
    <definedName name="_n">NA()</definedName>
    <definedName name="_n1" localSheetId="1" hidden="1">{"'Sheet1'!$L$16"}</definedName>
    <definedName name="_n1" hidden="1">{"'Sheet1'!$L$16"}</definedName>
    <definedName name="_nc27">NA()</definedName>
    <definedName name="_Net1" localSheetId="2">#REF!</definedName>
    <definedName name="_Net1" localSheetId="0">#REF!</definedName>
    <definedName name="_Net1" localSheetId="1">#REF!</definedName>
    <definedName name="_Net1" localSheetId="3">#REF!</definedName>
    <definedName name="_Net1">#REF!</definedName>
    <definedName name="_Net2" localSheetId="2">#REF!</definedName>
    <definedName name="_Net2" localSheetId="0">#REF!</definedName>
    <definedName name="_Net2" localSheetId="1">#REF!</definedName>
    <definedName name="_Net2" localSheetId="3">#REF!</definedName>
    <definedName name="_Net2">#REF!</definedName>
    <definedName name="_nga3">NA()</definedName>
    <definedName name="_NSO2" localSheetId="1" hidden="1">{"'Sheet1'!$L$16"}</definedName>
    <definedName name="_NSO2" hidden="1">{"'Sheet1'!$L$16"}</definedName>
    <definedName name="_o">NA()</definedName>
    <definedName name="_Order1" hidden="1">255</definedName>
    <definedName name="_Order2" hidden="1">255</definedName>
    <definedName name="_oto10">NA()</definedName>
    <definedName name="_p">NA()</definedName>
    <definedName name="_pc30">NA()</definedName>
    <definedName name="_pc40">NA()</definedName>
    <definedName name="_Q12007"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_Q12007"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_qat0405">NA()</definedName>
    <definedName name="_rdt0405">NA()</definedName>
    <definedName name="_Regression_Int" hidden="1">1</definedName>
    <definedName name="_san110">NA()</definedName>
    <definedName name="_sat10">NA()</definedName>
    <definedName name="_sat12">NA()</definedName>
    <definedName name="_sat14">NA()</definedName>
    <definedName name="_sat16">NA()</definedName>
    <definedName name="_sat20">NA()</definedName>
    <definedName name="_sat8">NA()</definedName>
    <definedName name="_Sort" localSheetId="0" hidden="1">#REF!</definedName>
    <definedName name="_Sort" localSheetId="1" hidden="1">#REF!</definedName>
    <definedName name="_Sort" hidden="1">#REF!</definedName>
    <definedName name="_tax1">NA()</definedName>
    <definedName name="_tax2">NA()</definedName>
    <definedName name="_tax3">NA()</definedName>
    <definedName name="_tax4">NA()</definedName>
    <definedName name="_tbl005" localSheetId="2">#REF!</definedName>
    <definedName name="_tbl005" localSheetId="0">#REF!</definedName>
    <definedName name="_tbl005" localSheetId="1">#REF!</definedName>
    <definedName name="_tbl005" localSheetId="3">#REF!</definedName>
    <definedName name="_tbl005">#REF!</definedName>
    <definedName name="_tct3">NA()</definedName>
    <definedName name="_th100">NA()</definedName>
    <definedName name="_TH160">NA()</definedName>
    <definedName name="_TR250">NA()</definedName>
    <definedName name="_tr375">NA()</definedName>
    <definedName name="_ui110">NA()</definedName>
    <definedName name="_vc1">NA()</definedName>
    <definedName name="_vc2">NA()</definedName>
    <definedName name="_vc3">NA()</definedName>
    <definedName name="_XM30">NA()</definedName>
    <definedName name="_z">NA()</definedName>
    <definedName name="a00">NA()</definedName>
    <definedName name="a1_">NA()</definedName>
    <definedName name="a2_">NA()</definedName>
    <definedName name="a3_">NA()</definedName>
    <definedName name="a4_">NA()</definedName>
    <definedName name="a5_">NA()</definedName>
    <definedName name="a6_">NA()</definedName>
    <definedName name="A6N3">NA()</definedName>
    <definedName name="a7_">NA()</definedName>
    <definedName name="aa" localSheetId="0">#REF!</definedName>
    <definedName name="aa" localSheetId="1">#REF!</definedName>
    <definedName name="aa">#REF!</definedName>
    <definedName name="aaa" localSheetId="2">#REF!</definedName>
    <definedName name="aaa" localSheetId="0">#REF!</definedName>
    <definedName name="aaa" localSheetId="1">#REF!</definedName>
    <definedName name="aaa" localSheetId="3">#REF!</definedName>
    <definedName name="aaa">#REF!</definedName>
    <definedName name="ab"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ab"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ABC" localSheetId="1" hidden="1">{"'Sheet1'!$L$16"}</definedName>
    <definedName name="ABC" hidden="1">{"'Sheet1'!$L$16"}</definedName>
    <definedName name="AccessDatabase" hidden="1">"C:\Documents and Settings\trong.tran\My Documents\Phieu thu chi.mdb"</definedName>
    <definedName name="æ76">NA()</definedName>
    <definedName name="ag142X42">NA()</definedName>
    <definedName name="ag267N59">NA()</definedName>
    <definedName name="Âoïng_lãû_phê_chuyãøn_tiãön_ngán_haìng">NA()</definedName>
    <definedName name="aqqqq" localSheetId="0" hidden="1">#REF!</definedName>
    <definedName name="aqqqq" localSheetId="1" hidden="1">#REF!</definedName>
    <definedName name="aqqqq" hidden="1">#REF!</definedName>
    <definedName name="asda">NA()</definedName>
    <definedName name="aù0">NA()</definedName>
    <definedName name="AVOITPOUREFF" localSheetId="2">'[1]Marché voiture'!#REF!</definedName>
    <definedName name="AVOITPOUREFF" localSheetId="0">'[1]Marché voiture'!#REF!</definedName>
    <definedName name="AVOITPOUREFF" localSheetId="1">'[1]Marché voiture'!#REF!</definedName>
    <definedName name="AVOITPOUREFF" localSheetId="3">'[1]Marché voiture'!#REF!</definedName>
    <definedName name="AVOITPOUREFF">'[1]Marché voiture'!#REF!</definedName>
    <definedName name="avvoitpoureff" localSheetId="2">'[1]Marché voiture'!#REF!</definedName>
    <definedName name="avvoitpoureff" localSheetId="0">'[1]Marché voiture'!#REF!</definedName>
    <definedName name="avvoitpoureff" localSheetId="1">'[1]Marché voiture'!#REF!</definedName>
    <definedName name="avvoitpoureff" localSheetId="3">'[1]Marché voiture'!#REF!</definedName>
    <definedName name="avvoitpoureff">'[1]Marché voiture'!#REF!</definedName>
    <definedName name="azdfa">NA()</definedName>
    <definedName name="B">NA()</definedName>
    <definedName name="b_240">NA()</definedName>
    <definedName name="b_280">NA()</definedName>
    <definedName name="b_320">NA()</definedName>
    <definedName name="b1_">NA()</definedName>
    <definedName name="b2_">NA()</definedName>
    <definedName name="b3_">NA()</definedName>
    <definedName name="b4_">NA()</definedName>
    <definedName name="b5_">NA()</definedName>
    <definedName name="b6_">NA()</definedName>
    <definedName name="b7_">NA()</definedName>
    <definedName name="Bang">NA()</definedName>
    <definedName name="bangciti">NA()</definedName>
    <definedName name="Baove">NA()</definedName>
    <definedName name="Bar">NA()</definedName>
    <definedName name="BAS" localSheetId="2">'[1]Marché voiture'!#REF!</definedName>
    <definedName name="BAS" localSheetId="0">'[1]Marché voiture'!#REF!</definedName>
    <definedName name="BAS" localSheetId="1">'[1]Marché voiture'!#REF!</definedName>
    <definedName name="BAS" localSheetId="3">'[1]Marché voiture'!#REF!</definedName>
    <definedName name="BAS">'[1]Marché voiture'!#REF!</definedName>
    <definedName name="base" localSheetId="2">#REF!</definedName>
    <definedName name="base" localSheetId="0">#REF!</definedName>
    <definedName name="base" localSheetId="1">#REF!</definedName>
    <definedName name="base" localSheetId="3">#REF!</definedName>
    <definedName name="base">#REF!</definedName>
    <definedName name="BaseTPE" localSheetId="2">#REF!</definedName>
    <definedName name="BaseTPE" localSheetId="0">#REF!</definedName>
    <definedName name="BaseTPE" localSheetId="1">#REF!</definedName>
    <definedName name="BaseTPE" localSheetId="3">#REF!</definedName>
    <definedName name="BaseTPE">#REF!</definedName>
    <definedName name="bBeverage">[2]Reference!$F$20</definedName>
    <definedName name="bd">NA()</definedName>
    <definedName name="bdd" localSheetId="2">#REF!</definedName>
    <definedName name="bdd" localSheetId="0">#REF!</definedName>
    <definedName name="bdd" localSheetId="1">#REF!</definedName>
    <definedName name="bdd" localSheetId="3">#REF!</definedName>
    <definedName name="bdd">#REF!</definedName>
    <definedName name="bdht15nc">NA()</definedName>
    <definedName name="bdht15vl">NA()</definedName>
    <definedName name="bdht25nc">NA()</definedName>
    <definedName name="bdht25vl">NA()</definedName>
    <definedName name="bdht325nc">NA()</definedName>
    <definedName name="bdht325vl">NA()</definedName>
    <definedName name="betong">NA()</definedName>
    <definedName name="binh" localSheetId="1" hidden="1">{"'Sheet1'!$L$16"}</definedName>
    <definedName name="binh" hidden="1">{"'Sheet1'!$L$16"}</definedName>
    <definedName name="BLDG">NA()</definedName>
    <definedName name="BLDGIMP">NA()</definedName>
    <definedName name="BLDGREV">NA()</definedName>
    <definedName name="BmiT0405">NA()</definedName>
    <definedName name="bon100pouref" localSheetId="2">'[1]Marché voiture'!#REF!</definedName>
    <definedName name="bon100pouref" localSheetId="0">'[1]Marché voiture'!#REF!</definedName>
    <definedName name="bon100pouref" localSheetId="1">'[1]Marché voiture'!#REF!</definedName>
    <definedName name="bon100pouref" localSheetId="3">'[1]Marché voiture'!#REF!</definedName>
    <definedName name="bon100pouref">'[1]Marché voiture'!#REF!</definedName>
    <definedName name="BON100POUREFF" localSheetId="2">'[1]Marché voiture'!#REF!</definedName>
    <definedName name="BON100POUREFF" localSheetId="0">'[1]Marché voiture'!#REF!</definedName>
    <definedName name="BON100POUREFF" localSheetId="1">'[1]Marché voiture'!#REF!</definedName>
    <definedName name="BON100POUREFF" localSheetId="3">'[1]Marché voiture'!#REF!</definedName>
    <definedName name="BON100POUREFF">'[1]Marché voiture'!#REF!</definedName>
    <definedName name="BON100POURSB" localSheetId="2">'[1]Marché voiture'!#REF!</definedName>
    <definedName name="BON100POURSB" localSheetId="0">'[1]Marché voiture'!#REF!</definedName>
    <definedName name="BON100POURSB" localSheetId="1">'[1]Marché voiture'!#REF!</definedName>
    <definedName name="BON100POURSB" localSheetId="3">'[1]Marché voiture'!#REF!</definedName>
    <definedName name="BON100POURSB">'[1]Marché voiture'!#REF!</definedName>
    <definedName name="bon100pousb" localSheetId="2">'[1]Marché voiture'!#REF!</definedName>
    <definedName name="bon100pousb" localSheetId="0">'[1]Marché voiture'!#REF!</definedName>
    <definedName name="bon100pousb" localSheetId="1">'[1]Marché voiture'!#REF!</definedName>
    <definedName name="bon100pousb" localSheetId="3">'[1]Marché voiture'!#REF!</definedName>
    <definedName name="bon100pousb">'[1]Marché voiture'!#REF!</definedName>
    <definedName name="bonpoureff" localSheetId="2">'[1]Marché voiture'!#REF!</definedName>
    <definedName name="bonpoureff" localSheetId="0">'[1]Marché voiture'!#REF!</definedName>
    <definedName name="bonpoureff" localSheetId="1">'[1]Marché voiture'!#REF!</definedName>
    <definedName name="bonpoureff" localSheetId="3">'[1]Marché voiture'!#REF!</definedName>
    <definedName name="bonpoureff">'[1]Marché voiture'!#REF!</definedName>
    <definedName name="bonpoursb" localSheetId="2">'[1]Marché voiture'!#REF!</definedName>
    <definedName name="bonpoursb" localSheetId="0">'[1]Marché voiture'!#REF!</definedName>
    <definedName name="bonpoursb" localSheetId="1">'[1]Marché voiture'!#REF!</definedName>
    <definedName name="bonpoursb" localSheetId="3">'[1]Marché voiture'!#REF!</definedName>
    <definedName name="bonpoursb">'[1]Marché voiture'!#REF!</definedName>
    <definedName name="bonupouref" localSheetId="2">'[1]Marché voiture'!#REF!</definedName>
    <definedName name="bonupouref" localSheetId="0">'[1]Marché voiture'!#REF!</definedName>
    <definedName name="bonupouref" localSheetId="1">'[1]Marché voiture'!#REF!</definedName>
    <definedName name="bonupouref" localSheetId="3">'[1]Marché voiture'!#REF!</definedName>
    <definedName name="bonupouref">'[1]Marché voiture'!#REF!</definedName>
    <definedName name="BONUPOUREFF" localSheetId="2">'[1]Marché voiture'!#REF!</definedName>
    <definedName name="BONUPOUREFF" localSheetId="0">'[1]Marché voiture'!#REF!</definedName>
    <definedName name="BONUPOUREFF" localSheetId="1">'[1]Marché voiture'!#REF!</definedName>
    <definedName name="BONUPOUREFF" localSheetId="3">'[1]Marché voiture'!#REF!</definedName>
    <definedName name="BONUPOUREFF">'[1]Marché voiture'!#REF!</definedName>
    <definedName name="BONUPOURSB" localSheetId="2">'[1]Marché voiture'!#REF!</definedName>
    <definedName name="BONUPOURSB" localSheetId="0">'[1]Marché voiture'!#REF!</definedName>
    <definedName name="BONUPOURSB" localSheetId="1">'[1]Marché voiture'!#REF!</definedName>
    <definedName name="BONUPOURSB" localSheetId="3">'[1]Marché voiture'!#REF!</definedName>
    <definedName name="BONUPOURSB">'[1]Marché voiture'!#REF!</definedName>
    <definedName name="bonupousb" localSheetId="2">'[1]Marché voiture'!#REF!</definedName>
    <definedName name="bonupousb" localSheetId="0">'[1]Marché voiture'!#REF!</definedName>
    <definedName name="bonupousb" localSheetId="1">'[1]Marché voiture'!#REF!</definedName>
    <definedName name="bonupousb" localSheetId="3">'[1]Marché voiture'!#REF!</definedName>
    <definedName name="bonupousb">'[1]Marché voiture'!#REF!</definedName>
    <definedName name="bonus98">'[3]Bonus RPA'!$B$10:$C$14</definedName>
    <definedName name="bonus99">'[3]Bonus RPA'!$B$10:$E$14</definedName>
    <definedName name="botda">NA()</definedName>
    <definedName name="botmau">NA()</definedName>
    <definedName name="boxes">NA()</definedName>
    <definedName name="bt250.0">NA()</definedName>
    <definedName name="btds">NA()</definedName>
    <definedName name="btnhuamin">NA()</definedName>
    <definedName name="btnhuatho">NA()</definedName>
    <definedName name="bttc">NA()</definedName>
    <definedName name="btthuongpham150">NA()</definedName>
    <definedName name="btthuongpham200">NA()</definedName>
    <definedName name="btthuongpham250">NA()</definedName>
    <definedName name="btthuongphamM30">NA()</definedName>
    <definedName name="bulong">NA()</definedName>
    <definedName name="BUSE" localSheetId="2">#REF!</definedName>
    <definedName name="BUSE" localSheetId="0">#REF!</definedName>
    <definedName name="BUSE" localSheetId="1">#REF!</definedName>
    <definedName name="BUSE" localSheetId="3">#REF!</definedName>
    <definedName name="BUSE">#REF!</definedName>
    <definedName name="bust1">NA()</definedName>
    <definedName name="CABLE2">NA()</definedName>
    <definedName name="cancu2">NA()</definedName>
    <definedName name="Cantine_TR" localSheetId="2">#REF!</definedName>
    <definedName name="Cantine_TR" localSheetId="0">#REF!</definedName>
    <definedName name="Cantine_TR" localSheetId="1">#REF!</definedName>
    <definedName name="Cantine_TR" localSheetId="3">#REF!</definedName>
    <definedName name="Cantine_TR">#REF!</definedName>
    <definedName name="CAPDAT">NA()</definedName>
    <definedName name="CAPEX" localSheetId="1" hidden="1">{#N/A,#N/A,FALSE,"Sheet1";#N/A,#N/A,FALSE,"Key data stat 1";#N/A,#N/A,FALSE,"Key Data 2";#N/A,#N/A,FALSE,"Key Data Graph 3"}</definedName>
    <definedName name="CAPEX" hidden="1">{#N/A,#N/A,FALSE,"Sheet1";#N/A,#N/A,FALSE,"Key data stat 1";#N/A,#N/A,FALSE,"Key Data 2";#N/A,#N/A,FALSE,"Key Data Graph 3"}</definedName>
    <definedName name="Case_Linkw_AT_211_Fdd">NA()</definedName>
    <definedName name="Case_Linkw_ATX">NA()</definedName>
    <definedName name="Case_Linkw_ATX_218_Fdd">NA()</definedName>
    <definedName name="Cases"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Cases"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CATEG" localSheetId="2">'[4]Mcdo. Gral. 98'!#REF!</definedName>
    <definedName name="CATEG" localSheetId="0">'[4]Mcdo. Gral. 98'!#REF!</definedName>
    <definedName name="CATEG" localSheetId="1">'[4]Mcdo. Gral. 98'!#REF!</definedName>
    <definedName name="CATEG" localSheetId="3">'[4]Mcdo. Gral. 98'!#REF!</definedName>
    <definedName name="CATEG">'[4]Mcdo. Gral. 98'!#REF!</definedName>
    <definedName name="catnen">NA()</definedName>
    <definedName name="catuon">NA()</definedName>
    <definedName name="catvang">NA()</definedName>
    <definedName name="CatVang_HamYen">NA()</definedName>
    <definedName name="cau">NA()</definedName>
    <definedName name="caychong">NA()</definedName>
    <definedName name="CCNK">NA()</definedName>
    <definedName name="CDDB">NA()</definedName>
    <definedName name="CDDD">NA()</definedName>
    <definedName name="cddd1p">NA()</definedName>
    <definedName name="cddd3p">NA()</definedName>
    <definedName name="CDDR_Acer40X_IDE">NA()</definedName>
    <definedName name="CDDR_Acer48X_IDE">NA()</definedName>
    <definedName name="CDDR_Acer50X_IDE">NA()</definedName>
    <definedName name="CDDT">NA()</definedName>
    <definedName name="CDMD">NA()</definedName>
    <definedName name="CDTRAMD1">NA()</definedName>
    <definedName name="cellhasformular">NA()</definedName>
    <definedName name="cgionc">NA()</definedName>
    <definedName name="cgiovl">NA()</definedName>
    <definedName name="CH">NA()</definedName>
    <definedName name="chhtnc">NA()</definedName>
    <definedName name="chhtvl">NA()</definedName>
    <definedName name="chnc">NA()</definedName>
    <definedName name="Chu">NA()</definedName>
    <definedName name="chung">66</definedName>
    <definedName name="chvl">NA()</definedName>
    <definedName name="citidd">NA()</definedName>
    <definedName name="cknc">NA()</definedName>
    <definedName name="ckvl">NA()</definedName>
    <definedName name="ClientRef">[5]Title!$B$1</definedName>
    <definedName name="CLTMP">NA()</definedName>
    <definedName name="CLVC">NA()</definedName>
    <definedName name="clvc1">NA()</definedName>
    <definedName name="CLVC3">0.1</definedName>
    <definedName name="CN3p">NA()</definedName>
    <definedName name="COAT">NA()</definedName>
    <definedName name="coc20x20">NA()</definedName>
    <definedName name="Code" localSheetId="0" hidden="1">#REF!</definedName>
    <definedName name="Code" localSheetId="1" hidden="1">#REF!</definedName>
    <definedName name="Code" hidden="1">#REF!</definedName>
    <definedName name="COMMPOUREFF" localSheetId="2">'[1]Marché voiture'!#REF!</definedName>
    <definedName name="COMMPOUREFF" localSheetId="0">'[1]Marché voiture'!#REF!</definedName>
    <definedName name="COMMPOUREFF" localSheetId="1">'[1]Marché voiture'!#REF!</definedName>
    <definedName name="COMMPOUREFF" localSheetId="3">'[1]Marché voiture'!#REF!</definedName>
    <definedName name="COMMPOUREFF">'[1]Marché voiture'!#REF!</definedName>
    <definedName name="COMMPOURSB" localSheetId="2">'[1]Marché voiture'!#REF!</definedName>
    <definedName name="COMMPOURSB" localSheetId="0">'[1]Marché voiture'!#REF!</definedName>
    <definedName name="COMMPOURSB" localSheetId="1">'[1]Marché voiture'!#REF!</definedName>
    <definedName name="COMMPOURSB" localSheetId="3">'[1]Marché voiture'!#REF!</definedName>
    <definedName name="COMMPOURSB">'[1]Marché voiture'!#REF!</definedName>
    <definedName name="COMP">NA()</definedName>
    <definedName name="company">'[6]FS BDD'!$B$4:$C$57</definedName>
    <definedName name="compouref" localSheetId="2">'[1]Marché voiture'!#REF!</definedName>
    <definedName name="compouref" localSheetId="0">'[1]Marché voiture'!#REF!</definedName>
    <definedName name="compouref" localSheetId="1">'[1]Marché voiture'!#REF!</definedName>
    <definedName name="compouref" localSheetId="3">'[1]Marché voiture'!#REF!</definedName>
    <definedName name="compouref">'[1]Marché voiture'!#REF!</definedName>
    <definedName name="compoureff" localSheetId="2">'[1]Marché voiture'!#REF!</definedName>
    <definedName name="compoureff" localSheetId="0">'[1]Marché voiture'!#REF!</definedName>
    <definedName name="compoureff" localSheetId="1">'[1]Marché voiture'!#REF!</definedName>
    <definedName name="compoureff" localSheetId="3">'[1]Marché voiture'!#REF!</definedName>
    <definedName name="compoureff">'[1]Marché voiture'!#REF!</definedName>
    <definedName name="compoursb" localSheetId="2">'[1]Marché voiture'!#REF!</definedName>
    <definedName name="compoursb" localSheetId="0">'[1]Marché voiture'!#REF!</definedName>
    <definedName name="compoursb" localSheetId="1">'[1]Marché voiture'!#REF!</definedName>
    <definedName name="compoursb" localSheetId="3">'[1]Marché voiture'!#REF!</definedName>
    <definedName name="compoursb">'[1]Marché voiture'!#REF!</definedName>
    <definedName name="compousb" localSheetId="2">'[1]Marché voiture'!#REF!</definedName>
    <definedName name="compousb" localSheetId="0">'[1]Marché voiture'!#REF!</definedName>
    <definedName name="compousb" localSheetId="1">'[1]Marché voiture'!#REF!</definedName>
    <definedName name="compousb" localSheetId="3">'[1]Marché voiture'!#REF!</definedName>
    <definedName name="compousb">'[1]Marché voiture'!#REF!</definedName>
    <definedName name="cong_bq">NA()</definedName>
    <definedName name="cong_bv">NA()</definedName>
    <definedName name="cong_ck">NA()</definedName>
    <definedName name="cong_d1">NA()</definedName>
    <definedName name="cong_d2">NA()</definedName>
    <definedName name="cong_d3">NA()</definedName>
    <definedName name="cong_dl">NA()</definedName>
    <definedName name="cong_kcs">NA()</definedName>
    <definedName name="cong_nb">NA()</definedName>
    <definedName name="cong_ngio">NA()</definedName>
    <definedName name="cong_nv">NA()</definedName>
    <definedName name="cong_t3">NA()</definedName>
    <definedName name="cong_t4">NA()</definedName>
    <definedName name="cong_t5">NA()</definedName>
    <definedName name="cong_t6">NA()</definedName>
    <definedName name="cong_tc">NA()</definedName>
    <definedName name="cong_tm">NA()</definedName>
    <definedName name="cong_vs">NA()</definedName>
    <definedName name="cong_xh">NA()</definedName>
    <definedName name="cong1x15">NA()</definedName>
    <definedName name="Congdoc">NA()</definedName>
    <definedName name="Conversion_Capital_rente" localSheetId="2">#REF!</definedName>
    <definedName name="Conversion_Capital_rente" localSheetId="0">#REF!</definedName>
    <definedName name="Conversion_Capital_rente" localSheetId="1">#REF!</definedName>
    <definedName name="Conversion_Capital_rente" localSheetId="3">#REF!</definedName>
    <definedName name="Conversion_Capital_rente">#REF!</definedName>
    <definedName name="conversion_repartition" localSheetId="2">#REF!</definedName>
    <definedName name="conversion_repartition" localSheetId="0">#REF!</definedName>
    <definedName name="conversion_repartition" localSheetId="1">#REF!</definedName>
    <definedName name="conversion_repartition" localSheetId="3">#REF!</definedName>
    <definedName name="conversion_repartition">#REF!</definedName>
    <definedName name="CooT0405">NA()</definedName>
    <definedName name="copy">NA()</definedName>
    <definedName name="copyl">NA()</definedName>
    <definedName name="CORPORATE" localSheetId="2">#REF!</definedName>
    <definedName name="CORPORATE" localSheetId="0">#REF!</definedName>
    <definedName name="CORPORATE" localSheetId="1">#REF!</definedName>
    <definedName name="CORPORATE" localSheetId="3">#REF!</definedName>
    <definedName name="CORPORATE">#REF!</definedName>
    <definedName name="cot">NA()</definedName>
    <definedName name="Cot_thep">NA()</definedName>
    <definedName name="Cout_argent" localSheetId="2">#REF!</definedName>
    <definedName name="Cout_argent" localSheetId="0">#REF!</definedName>
    <definedName name="Cout_argent" localSheetId="1">#REF!</definedName>
    <definedName name="Cout_argent" localSheetId="3">#REF!</definedName>
    <definedName name="Cout_argent">#REF!</definedName>
    <definedName name="Cout_immobilier" localSheetId="2">#REF!</definedName>
    <definedName name="Cout_immobilier" localSheetId="0">#REF!</definedName>
    <definedName name="Cout_immobilier" localSheetId="1">#REF!</definedName>
    <definedName name="Cout_immobilier" localSheetId="3">#REF!</definedName>
    <definedName name="Cout_immobilier">#REF!</definedName>
    <definedName name="Coût3ansD" localSheetId="2">#REF!</definedName>
    <definedName name="Coût3ansD" localSheetId="0">#REF!</definedName>
    <definedName name="Coût3ansD" localSheetId="1">#REF!</definedName>
    <definedName name="Coût3ansD" localSheetId="3">#REF!</definedName>
    <definedName name="Coût3ansD">#REF!</definedName>
    <definedName name="Coût3ansE" localSheetId="2">#REF!</definedName>
    <definedName name="Coût3ansE" localSheetId="0">#REF!</definedName>
    <definedName name="Coût3ansE" localSheetId="3">#REF!</definedName>
    <definedName name="Coût3ansE">#REF!</definedName>
    <definedName name="CoûtDiesel" localSheetId="2">#REF!</definedName>
    <definedName name="CoûtDiesel" localSheetId="0">#REF!</definedName>
    <definedName name="CoûtDiesel" localSheetId="3">#REF!</definedName>
    <definedName name="CoûtDiesel">#REF!</definedName>
    <definedName name="CoûtEssence" localSheetId="2">#REF!</definedName>
    <definedName name="CoûtEssence" localSheetId="0">#REF!</definedName>
    <definedName name="CoûtEssence" localSheetId="3">#REF!</definedName>
    <definedName name="CoûtEssence">#REF!</definedName>
    <definedName name="cpd">NA()</definedName>
    <definedName name="cpdd">NA()</definedName>
    <definedName name="CPDD22cm">NA()</definedName>
    <definedName name="cpdd35cm">NA()</definedName>
    <definedName name="CPU_AMD_K6II_550">NA()</definedName>
    <definedName name="CPU_Intel_P4_1.7_256K_256RIMM">NA()</definedName>
    <definedName name="CPU_Intel_PIII500E_256Kdie_Copp">NA()</definedName>
    <definedName name="CPU_Intel_PIII550E_256Kdie_Copp">NA()</definedName>
    <definedName name="CPVC1KM">NA()</definedName>
    <definedName name="CPVCDN">NA()</definedName>
    <definedName name="CraT0405">NA()</definedName>
    <definedName name="CROPPHARMA" localSheetId="2">#REF!</definedName>
    <definedName name="CROPPHARMA" localSheetId="0">#REF!</definedName>
    <definedName name="CROPPHARMA" localSheetId="1">#REF!</definedName>
    <definedName name="CROPPHARMA" localSheetId="3">#REF!</definedName>
    <definedName name="CROPPHARMA">#REF!</definedName>
    <definedName name="CSG_RDS" localSheetId="2">#REF!</definedName>
    <definedName name="CSG_RDS" localSheetId="0">#REF!</definedName>
    <definedName name="CSG_RDS" localSheetId="1">#REF!</definedName>
    <definedName name="CSG_RDS" localSheetId="3">#REF!</definedName>
    <definedName name="CSG_RDS">#REF!</definedName>
    <definedName name="ct3_">NA()</definedName>
    <definedName name="ct5_">NA()</definedName>
    <definedName name="Ctb">NA()</definedName>
    <definedName name="cti3x15">NA()</definedName>
    <definedName name="cto">NA()</definedName>
    <definedName name="CTT">NA()</definedName>
    <definedName name="cu_ly_1">NA()</definedName>
    <definedName name="culy1">NA()</definedName>
    <definedName name="culy2">NA()</definedName>
    <definedName name="culy3">NA()</definedName>
    <definedName name="culy4">NA()</definedName>
    <definedName name="culy5">NA()</definedName>
    <definedName name="cuoc">NA()</definedName>
    <definedName name="Cuoc_vc_1">NA()</definedName>
    <definedName name="cuvtt0405">NA()</definedName>
    <definedName name="cv">NA()</definedName>
    <definedName name="cxhtnc">NA()</definedName>
    <definedName name="cxhtvl">NA()</definedName>
    <definedName name="cxnc">NA()</definedName>
    <definedName name="cxvl">NA()</definedName>
    <definedName name="cxxnc">NA()</definedName>
    <definedName name="cxxvl">NA()</definedName>
    <definedName name="d">NA()</definedName>
    <definedName name="D_Gia">NA()</definedName>
    <definedName name="D1x49">NA()</definedName>
    <definedName name="D1x49x49">NA()</definedName>
    <definedName name="d2.7">NA()</definedName>
    <definedName name="d24nc">NA()</definedName>
    <definedName name="d24vl">NA()</definedName>
    <definedName name="d3.0">NA()</definedName>
    <definedName name="d3.5">NA()</definedName>
    <definedName name="D4.0">NA()</definedName>
    <definedName name="d4_">NA()</definedName>
    <definedName name="d5_">NA()</definedName>
    <definedName name="da0.5x1">NA()</definedName>
    <definedName name="da1x2">NA()</definedName>
    <definedName name="da2x4">NA()</definedName>
    <definedName name="da300x300">NA()</definedName>
    <definedName name="da4x6">NA()</definedName>
    <definedName name="dadas">NA()</definedName>
    <definedName name="dahoc">NA()</definedName>
    <definedName name="dam">78000</definedName>
    <definedName name="danep">NA()</definedName>
    <definedName name="danho">NA()</definedName>
    <definedName name="Daodat">NA()</definedName>
    <definedName name="daotd">NA()</definedName>
    <definedName name="dap">NA()</definedName>
    <definedName name="Dapcat">NA()</definedName>
    <definedName name="daptd">NA()</definedName>
    <definedName name="DATA1" localSheetId="0">#REF!</definedName>
    <definedName name="DATA1" localSheetId="1">#REF!</definedName>
    <definedName name="DATA1">#REF!</definedName>
    <definedName name="DATA10" localSheetId="0">#REF!</definedName>
    <definedName name="DATA10" localSheetId="1">#REF!</definedName>
    <definedName name="DATA10">#REF!</definedName>
    <definedName name="DATA11" localSheetId="0">#REF!</definedName>
    <definedName name="DATA11" localSheetId="1">#REF!</definedName>
    <definedName name="DATA11">#REF!</definedName>
    <definedName name="DATA12" localSheetId="0">#REF!</definedName>
    <definedName name="DATA12">#REF!</definedName>
    <definedName name="DATA13" localSheetId="0">#REF!</definedName>
    <definedName name="DATA13">#REF!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71" localSheetId="0">#REF!</definedName>
    <definedName name="DATA71">#REF!</definedName>
    <definedName name="DATA72" localSheetId="0">#REF!</definedName>
    <definedName name="DATA72">#REF!</definedName>
    <definedName name="DATA73" localSheetId="0">#REF!</definedName>
    <definedName name="DATA73">#REF!</definedName>
    <definedName name="DATA74" localSheetId="0">#REF!</definedName>
    <definedName name="DATA74">#REF!</definedName>
    <definedName name="DATA75" localSheetId="0">#REF!</definedName>
    <definedName name="DATA75">#REF!</definedName>
    <definedName name="DATA76" localSheetId="0">#REF!</definedName>
    <definedName name="DATA76">#REF!</definedName>
    <definedName name="DATA77" localSheetId="0">#REF!</definedName>
    <definedName name="DATA77">#REF!</definedName>
    <definedName name="DATA78" localSheetId="0">#REF!</definedName>
    <definedName name="DATA78">#REF!</definedName>
    <definedName name="DATA79" localSheetId="0">#REF!</definedName>
    <definedName name="DATA79">#REF!</definedName>
    <definedName name="DATA8" localSheetId="0">#REF!</definedName>
    <definedName name="DATA8">#REF!</definedName>
    <definedName name="DATA80" localSheetId="0">#REF!</definedName>
    <definedName name="DATA80">#REF!</definedName>
    <definedName name="DATA81" localSheetId="0">#REF!</definedName>
    <definedName name="DATA81">#REF!</definedName>
    <definedName name="DATA82" localSheetId="0">#REF!</definedName>
    <definedName name="DATA82">#REF!</definedName>
    <definedName name="DATA83" localSheetId="0">#REF!</definedName>
    <definedName name="DATA83">#REF!</definedName>
    <definedName name="DATA84" localSheetId="0">#REF!</definedName>
    <definedName name="DATA84">#REF!</definedName>
    <definedName name="DATA85" localSheetId="0">#REF!</definedName>
    <definedName name="DATA85">#REF!</definedName>
    <definedName name="DATA86" localSheetId="0">#REF!</definedName>
    <definedName name="DATA86">#REF!</definedName>
    <definedName name="DATA87" localSheetId="0">#REF!</definedName>
    <definedName name="DATA87">#REF!</definedName>
    <definedName name="DATA88" localSheetId="0">#REF!</definedName>
    <definedName name="DATA88">#REF!</definedName>
    <definedName name="DATA89" localSheetId="0">#REF!</definedName>
    <definedName name="DATA89">#REF!</definedName>
    <definedName name="DATA9" localSheetId="0">#REF!</definedName>
    <definedName name="DATA9">#REF!</definedName>
    <definedName name="_xlnm.Database" localSheetId="2">#REF!</definedName>
    <definedName name="_xlnm.Database" localSheetId="0">#REF!</definedName>
    <definedName name="_xlnm.Database" localSheetId="3">#REF!</definedName>
    <definedName name="_xlnm.Database">#REF!</definedName>
    <definedName name="DataFilter" localSheetId="1">'LABOR COST '!DataFilter</definedName>
    <definedName name="DataFilter">DataFilter</definedName>
    <definedName name="DataSort" localSheetId="1">'LABOR COST '!DataSort</definedName>
    <definedName name="DataSort">DataSort</definedName>
    <definedName name="datden">NA()</definedName>
    <definedName name="Datdoi">NA()</definedName>
    <definedName name="daybuoc">NA()</definedName>
    <definedName name="Daythep">NA()</definedName>
    <definedName name="dcc">NA()</definedName>
    <definedName name="dcl">NA()</definedName>
    <definedName name="dd0.5x1">NA()</definedName>
    <definedName name="dd1pnc">NA()</definedName>
    <definedName name="dd1pvl">NA()</definedName>
    <definedName name="dd1x2">NA()</definedName>
    <definedName name="dd2x4">NA()</definedName>
    <definedName name="dd3pctnc">NA()</definedName>
    <definedName name="dd3pctvl">NA()</definedName>
    <definedName name="dd3plmvl">NA()</definedName>
    <definedName name="dd3pnc">NA()</definedName>
    <definedName name="dd3pvl">NA()</definedName>
    <definedName name="DDBH">NA()</definedName>
    <definedName name="ddhtnc">NA()</definedName>
    <definedName name="ddhtvl">NA()</definedName>
    <definedName name="ddien">NA()</definedName>
    <definedName name="ddt2nc">NA()</definedName>
    <definedName name="ddt2vl">NA()</definedName>
    <definedName name="ddtd3pnc">NA()</definedName>
    <definedName name="ddtt1pnc">NA()</definedName>
    <definedName name="ddtt1pvl">NA()</definedName>
    <definedName name="ddtt3pnc">NA()</definedName>
    <definedName name="ddtt3pvl">NA()</definedName>
    <definedName name="départ_élus">[6]Stock!$D$1</definedName>
    <definedName name="départ_points">[6]Marchés!$D$2</definedName>
    <definedName name="départ_points_SO">[6]Stock!$C$1</definedName>
    <definedName name="départ_SB">[6]Marchés!$I$2</definedName>
    <definedName name="départ_stocks">[6]Stock!$E$1</definedName>
    <definedName name="départ_TC">[6]Marchés!$N$2</definedName>
    <definedName name="Department">[7]Source!$B$4:$B$10</definedName>
    <definedName name="det">NA()</definedName>
    <definedName name="DGM">NA()</definedName>
    <definedName name="DGNC">NA()</definedName>
    <definedName name="DGNVL">NA()</definedName>
    <definedName name="DGTH">NA()</definedName>
    <definedName name="DGTH1">NA()</definedName>
    <definedName name="dgth2">NA()</definedName>
    <definedName name="DGTR">NA()</definedName>
    <definedName name="DGVL1">NA()</definedName>
    <definedName name="DGVT">NA()</definedName>
    <definedName name="DIMM_64MB_ECC_PC133">NA()</definedName>
    <definedName name="dinh">NA()</definedName>
    <definedName name="dinhdia">NA()</definedName>
    <definedName name="DIPLOME" localSheetId="2">'[1]Marché voiture'!#REF!</definedName>
    <definedName name="DIPLOME" localSheetId="0">'[1]Marché voiture'!#REF!</definedName>
    <definedName name="DIPLOME" localSheetId="1">'[1]Marché voiture'!#REF!</definedName>
    <definedName name="DIPLOME" localSheetId="3">'[1]Marché voiture'!#REF!</definedName>
    <definedName name="DIPLOME">'[1]Marché voiture'!#REF!</definedName>
    <definedName name="diplôme" localSheetId="2">'[1]Marché voiture'!#REF!</definedName>
    <definedName name="diplôme" localSheetId="0">'[1]Marché voiture'!#REF!</definedName>
    <definedName name="diplôme" localSheetId="1">'[1]Marché voiture'!#REF!</definedName>
    <definedName name="diplôme" localSheetId="3">'[1]Marché voiture'!#REF!</definedName>
    <definedName name="diplôme">'[1]Marché voiture'!#REF!</definedName>
    <definedName name="diplôme0" localSheetId="2">'[1]Marché voiture'!#REF!</definedName>
    <definedName name="diplôme0" localSheetId="0">'[1]Marché voiture'!#REF!</definedName>
    <definedName name="diplôme0" localSheetId="1">'[1]Marché voiture'!#REF!</definedName>
    <definedName name="diplôme0" localSheetId="3">'[1]Marché voiture'!#REF!</definedName>
    <definedName name="diplôme0">'[1]Marché voiture'!#REF!</definedName>
    <definedName name="diplôme01" localSheetId="2">'[1]Marché voiture'!#REF!</definedName>
    <definedName name="diplôme01" localSheetId="0">'[1]Marché voiture'!#REF!</definedName>
    <definedName name="diplôme01" localSheetId="1">'[1]Marché voiture'!#REF!</definedName>
    <definedName name="diplôme01" localSheetId="3">'[1]Marché voiture'!#REF!</definedName>
    <definedName name="diplôme01">'[1]Marché voiture'!#REF!</definedName>
    <definedName name="diplôme02" localSheetId="2">'[1]Marché voiture'!#REF!</definedName>
    <definedName name="diplôme02" localSheetId="0">'[1]Marché voiture'!#REF!</definedName>
    <definedName name="diplôme02" localSheetId="1">'[1]Marché voiture'!#REF!</definedName>
    <definedName name="diplôme02" localSheetId="3">'[1]Marché voiture'!#REF!</definedName>
    <definedName name="diplôme02">'[1]Marché voiture'!#REF!</definedName>
    <definedName name="diplôme03" localSheetId="2">'[1]Marché voiture'!#REF!</definedName>
    <definedName name="diplôme03" localSheetId="0">'[1]Marché voiture'!#REF!</definedName>
    <definedName name="diplôme03" localSheetId="1">'[1]Marché voiture'!#REF!</definedName>
    <definedName name="diplôme03" localSheetId="3">'[1]Marché voiture'!#REF!</definedName>
    <definedName name="diplôme03">'[1]Marché voiture'!#REF!</definedName>
    <definedName name="diplôme04" localSheetId="2">'[1]Marché voiture'!#REF!</definedName>
    <definedName name="diplôme04" localSheetId="0">'[1]Marché voiture'!#REF!</definedName>
    <definedName name="diplôme04" localSheetId="1">'[1]Marché voiture'!#REF!</definedName>
    <definedName name="diplôme04" localSheetId="3">'[1]Marché voiture'!#REF!</definedName>
    <definedName name="diplôme04">'[1]Marché voiture'!#REF!</definedName>
    <definedName name="Diplome1" localSheetId="2">'[1]Marché voiture'!#REF!</definedName>
    <definedName name="Diplome1" localSheetId="0">'[1]Marché voiture'!#REF!</definedName>
    <definedName name="Diplome1" localSheetId="1">'[1]Marché voiture'!#REF!</definedName>
    <definedName name="Diplome1" localSheetId="3">'[1]Marché voiture'!#REF!</definedName>
    <definedName name="Diplome1">'[1]Marché voiture'!#REF!</definedName>
    <definedName name="diplôme1" localSheetId="2">'[1]Marché voiture'!#REF!</definedName>
    <definedName name="diplôme1" localSheetId="0">'[1]Marché voiture'!#REF!</definedName>
    <definedName name="diplôme1" localSheetId="1">'[1]Marché voiture'!#REF!</definedName>
    <definedName name="diplôme1" localSheetId="3">'[1]Marché voiture'!#REF!</definedName>
    <definedName name="diplôme1">'[1]Marché voiture'!#REF!</definedName>
    <definedName name="Diplome2" localSheetId="2">'[1]Marché voiture'!#REF!</definedName>
    <definedName name="Diplome2" localSheetId="0">'[1]Marché voiture'!#REF!</definedName>
    <definedName name="Diplome2" localSheetId="1">'[1]Marché voiture'!#REF!</definedName>
    <definedName name="Diplome2" localSheetId="3">'[1]Marché voiture'!#REF!</definedName>
    <definedName name="Diplome2">'[1]Marché voiture'!#REF!</definedName>
    <definedName name="diplôme2" localSheetId="2">'[1]Marché voiture'!#REF!</definedName>
    <definedName name="diplôme2" localSheetId="0">'[1]Marché voiture'!#REF!</definedName>
    <definedName name="diplôme2" localSheetId="1">'[1]Marché voiture'!#REF!</definedName>
    <definedName name="diplôme2" localSheetId="3">'[1]Marché voiture'!#REF!</definedName>
    <definedName name="diplôme2">'[1]Marché voiture'!#REF!</definedName>
    <definedName name="Diplome3" localSheetId="2">'[1]Marché voiture'!#REF!</definedName>
    <definedName name="Diplome3" localSheetId="0">'[1]Marché voiture'!#REF!</definedName>
    <definedName name="Diplome3" localSheetId="1">'[1]Marché voiture'!#REF!</definedName>
    <definedName name="Diplome3" localSheetId="3">'[1]Marché voiture'!#REF!</definedName>
    <definedName name="Diplome3">'[1]Marché voiture'!#REF!</definedName>
    <definedName name="diplôme3" localSheetId="2">'[1]Marché voiture'!#REF!</definedName>
    <definedName name="diplôme3" localSheetId="0">'[1]Marché voiture'!#REF!</definedName>
    <definedName name="diplôme3" localSheetId="1">'[1]Marché voiture'!#REF!</definedName>
    <definedName name="diplôme3" localSheetId="3">'[1]Marché voiture'!#REF!</definedName>
    <definedName name="diplôme3">'[1]Marché voiture'!#REF!</definedName>
    <definedName name="Diplome4" localSheetId="2">'[1]Marché voiture'!#REF!</definedName>
    <definedName name="Diplome4" localSheetId="0">'[1]Marché voiture'!#REF!</definedName>
    <definedName name="Diplome4" localSheetId="1">'[1]Marché voiture'!#REF!</definedName>
    <definedName name="Diplome4" localSheetId="3">'[1]Marché voiture'!#REF!</definedName>
    <definedName name="Diplome4">'[1]Marché voiture'!#REF!</definedName>
    <definedName name="diplôme4" localSheetId="2">'[1]Marché voiture'!#REF!</definedName>
    <definedName name="diplôme4" localSheetId="0">'[1]Marché voiture'!#REF!</definedName>
    <definedName name="diplôme4" localSheetId="1">'[1]Marché voiture'!#REF!</definedName>
    <definedName name="diplôme4" localSheetId="3">'[1]Marché voiture'!#REF!</definedName>
    <definedName name="diplôme4">'[1]Marché voiture'!#REF!</definedName>
    <definedName name="Discount" localSheetId="0" hidden="1">#REF!</definedName>
    <definedName name="Discount" localSheetId="1" hidden="1">#REF!</definedName>
    <definedName name="Discount" hidden="1">#REF!</definedName>
    <definedName name="display_area_2" localSheetId="0" hidden="1">#REF!</definedName>
    <definedName name="display_area_2" localSheetId="1" hidden="1">#REF!</definedName>
    <definedName name="display_area_2" hidden="1">#REF!</definedName>
    <definedName name="Div">[7]Source!$B$14:$B$31</definedName>
    <definedName name="DL15HT">NA()</definedName>
    <definedName name="DL16HT">NA()</definedName>
    <definedName name="DL19HT">NA()</definedName>
    <definedName name="DL20HT">NA()</definedName>
    <definedName name="DMBB">NA()</definedName>
    <definedName name="DMNVL">NA()</definedName>
    <definedName name="DMThung">NA()</definedName>
    <definedName name="DMUCNVL">NA()</definedName>
    <definedName name="dmz">NA()</definedName>
    <definedName name="dno">NA()</definedName>
    <definedName name="dongia">NA()</definedName>
    <definedName name="dongia1">NA()</definedName>
    <definedName name="DONVI">NA()</definedName>
    <definedName name="DONVIDG">NA()</definedName>
    <definedName name="dsct3pnc">NA()</definedName>
    <definedName name="dsct3pvl">NA()</definedName>
    <definedName name="DSDL" localSheetId="1" hidden="1">{"'Sheet1'!$L$16"}</definedName>
    <definedName name="DSDL" hidden="1">{"'Sheet1'!$L$16"}</definedName>
    <definedName name="DTPN_TKCO_NK">NA()</definedName>
    <definedName name="DTPN_TKCO_SKC">NA()</definedName>
    <definedName name="DTPN_TKCO_TGT">NA()</definedName>
    <definedName name="DTPN_TKCO_TKC">NA()</definedName>
    <definedName name="DTPN_TKNO_NK">NA()</definedName>
    <definedName name="DTPN_TKNO_SKC">NA()</definedName>
    <definedName name="DTPN_TKNO_TGT">NA()</definedName>
    <definedName name="DTPN_TKNO_TKC">NA()</definedName>
    <definedName name="dui1.5">NA()</definedName>
    <definedName name="duong">NA()</definedName>
    <definedName name="duong04">NA()</definedName>
    <definedName name="duong1">NA()</definedName>
    <definedName name="duong2">NA()</definedName>
    <definedName name="duong3">NA()</definedName>
    <definedName name="duong35">NA()</definedName>
    <definedName name="duong4">NA()</definedName>
    <definedName name="duong5">NA()</definedName>
    <definedName name="Durée_Epargne" localSheetId="2">#REF!</definedName>
    <definedName name="Durée_Epargne" localSheetId="0">#REF!</definedName>
    <definedName name="Durée_Epargne" localSheetId="1">#REF!</definedName>
    <definedName name="Durée_Epargne" localSheetId="3">#REF!</definedName>
    <definedName name="Durée_Epargne">#REF!</definedName>
    <definedName name="Durée_stock_en_année" localSheetId="2">#REF!</definedName>
    <definedName name="Durée_stock_en_année" localSheetId="0">#REF!</definedName>
    <definedName name="Durée_stock_en_année" localSheetId="1">#REF!</definedName>
    <definedName name="Durée_stock_en_année" localSheetId="3">#REF!</definedName>
    <definedName name="Durée_stock_en_année">#REF!</definedName>
    <definedName name="e">NA()</definedName>
    <definedName name="ë">NA()</definedName>
    <definedName name="E_p_Echm">NA()</definedName>
    <definedName name="E1.000">NA()</definedName>
    <definedName name="E1.010">NA()</definedName>
    <definedName name="E1.020">NA()</definedName>
    <definedName name="E1.200">NA()</definedName>
    <definedName name="E1.210">NA()</definedName>
    <definedName name="E1.220">NA()</definedName>
    <definedName name="E1.300">NA()</definedName>
    <definedName name="E1.310">NA()</definedName>
    <definedName name="E1.320">NA()</definedName>
    <definedName name="E1.400">NA()</definedName>
    <definedName name="E1.410">NA()</definedName>
    <definedName name="E1.420">NA()</definedName>
    <definedName name="E1.500">NA()</definedName>
    <definedName name="E1.510">NA()</definedName>
    <definedName name="E1.520">NA()</definedName>
    <definedName name="E1.600">NA()</definedName>
    <definedName name="E1.611">NA()</definedName>
    <definedName name="E1.631">NA()</definedName>
    <definedName name="E2.000">NA()</definedName>
    <definedName name="E2.000A">NA()</definedName>
    <definedName name="E2.010">NA()</definedName>
    <definedName name="E2.010A">NA()</definedName>
    <definedName name="E2.020">NA()</definedName>
    <definedName name="E2.020A">NA()</definedName>
    <definedName name="E2.100">NA()</definedName>
    <definedName name="E2.100A">NA()</definedName>
    <definedName name="E2.110">NA()</definedName>
    <definedName name="E2.110A">NA()</definedName>
    <definedName name="E2.120">NA()</definedName>
    <definedName name="E2.120A">NA()</definedName>
    <definedName name="E3.000">NA()</definedName>
    <definedName name="E3.010">NA()</definedName>
    <definedName name="E3.020">NA()</definedName>
    <definedName name="E3.031">NA()</definedName>
    <definedName name="E3.032">NA()</definedName>
    <definedName name="E3.033">NA()</definedName>
    <definedName name="E4.001">NA()</definedName>
    <definedName name="E4.011">NA()</definedName>
    <definedName name="E4.021">NA()</definedName>
    <definedName name="E4.101">NA()</definedName>
    <definedName name="E4.111">NA()</definedName>
    <definedName name="E4.121">NA()</definedName>
    <definedName name="E5.010">NA()</definedName>
    <definedName name="E5.020">NA()</definedName>
    <definedName name="E5.030">NA()</definedName>
    <definedName name="E6.001">NA()</definedName>
    <definedName name="E6.002">NA()</definedName>
    <definedName name="E6.011">NA()</definedName>
    <definedName name="E6.012">NA()</definedName>
    <definedName name="ë74">NA()</definedName>
    <definedName name="Echm">NA()</definedName>
    <definedName name="ED">NA()</definedName>
    <definedName name="EL2_">NA()</definedName>
    <definedName name="EL3_">NA()</definedName>
    <definedName name="EL4_">NA()</definedName>
    <definedName name="EL5_">NA()</definedName>
    <definedName name="EL6_">NA()</definedName>
    <definedName name="em_break_time" localSheetId="0">#REF!</definedName>
    <definedName name="em_break_time" localSheetId="1">#REF!</definedName>
    <definedName name="em_break_time">#REF!</definedName>
    <definedName name="em_days_wkly" localSheetId="0">#REF!</definedName>
    <definedName name="em_days_wkly" localSheetId="1">#REF!</definedName>
    <definedName name="em_days_wkly">#REF!</definedName>
    <definedName name="em_hrs_p_day" localSheetId="0">#REF!</definedName>
    <definedName name="em_hrs_p_day" localSheetId="1">#REF!</definedName>
    <definedName name="em_hrs_p_day">#REF!</definedName>
    <definedName name="em_pub_hols" localSheetId="0">#REF!</definedName>
    <definedName name="em_pub_hols">#REF!</definedName>
    <definedName name="em_tot_days" localSheetId="0">#REF!</definedName>
    <definedName name="em_tot_days">#REF!</definedName>
    <definedName name="em_weeks" localSheetId="0">#REF!</definedName>
    <definedName name="em_weeks">#REF!</definedName>
    <definedName name="en">NA()</definedName>
    <definedName name="entreprise">'[6]hors FS BDD'!$B$4:$C$65</definedName>
    <definedName name="ExactAddinReports" hidden="1">1</definedName>
    <definedName name="Excel_BuiltIn_Criteria">NA()</definedName>
    <definedName name="Excel_BuiltIn_Extract">NA()</definedName>
    <definedName name="Excel_BuiltIn_Print_Titles_39_1" localSheetId="0">#REF!</definedName>
    <definedName name="Excel_BuiltIn_Print_Titles_39_1" localSheetId="1">#REF!</definedName>
    <definedName name="Excel_BuiltIn_Print_Titles_39_1">#REF!</definedName>
    <definedName name="Excel_BuiltIn_Print_Titles_39_1_1" localSheetId="0">#REF!</definedName>
    <definedName name="Excel_BuiltIn_Print_Titles_39_1_1" localSheetId="1">#REF!</definedName>
    <definedName name="Excel_BuiltIn_Print_Titles_39_1_1">#REF!</definedName>
    <definedName name="F0.000">NA()</definedName>
    <definedName name="F0.010">NA()</definedName>
    <definedName name="F0.020">NA()</definedName>
    <definedName name="F0.100">NA()</definedName>
    <definedName name="F0.110">NA()</definedName>
    <definedName name="F0.120">NA()</definedName>
    <definedName name="F0.200">NA()</definedName>
    <definedName name="F0.210">NA()</definedName>
    <definedName name="F0.220">NA()</definedName>
    <definedName name="F0.300">NA()</definedName>
    <definedName name="F0.310">NA()</definedName>
    <definedName name="F0.320">NA()</definedName>
    <definedName name="F1.000">NA()</definedName>
    <definedName name="F1.010">NA()</definedName>
    <definedName name="F1.020">NA()</definedName>
    <definedName name="F1.100">NA()</definedName>
    <definedName name="F1.110">NA()</definedName>
    <definedName name="F1.120">NA()</definedName>
    <definedName name="F1.130">NA()</definedName>
    <definedName name="F1.140">NA()</definedName>
    <definedName name="F1.150">NA()</definedName>
    <definedName name="F2.001">NA()</definedName>
    <definedName name="F2.011">NA()</definedName>
    <definedName name="F2.021">NA()</definedName>
    <definedName name="F2.031">NA()</definedName>
    <definedName name="F2.041">NA()</definedName>
    <definedName name="F2.051">NA()</definedName>
    <definedName name="F2.052">NA()</definedName>
    <definedName name="F2.061">NA()</definedName>
    <definedName name="F2.071">NA()</definedName>
    <definedName name="F2.101">NA()</definedName>
    <definedName name="F2.111">NA()</definedName>
    <definedName name="F2.121">NA()</definedName>
    <definedName name="F2.131">NA()</definedName>
    <definedName name="F2.141">NA()</definedName>
    <definedName name="F2.200">NA()</definedName>
    <definedName name="F2.210">NA()</definedName>
    <definedName name="F2.220">NA()</definedName>
    <definedName name="F2.230">NA()</definedName>
    <definedName name="F2.240">NA()</definedName>
    <definedName name="F2.250">NA()</definedName>
    <definedName name="F2.300">NA()</definedName>
    <definedName name="F2.310">NA()</definedName>
    <definedName name="F2.320">NA()</definedName>
    <definedName name="F3.000">NA()</definedName>
    <definedName name="F3.010">NA()</definedName>
    <definedName name="F3.020">NA()</definedName>
    <definedName name="F3.030">NA()</definedName>
    <definedName name="F3.100">NA()</definedName>
    <definedName name="F3.110">NA()</definedName>
    <definedName name="F3.120">NA()</definedName>
    <definedName name="F3.130">NA()</definedName>
    <definedName name="F4.000">NA()</definedName>
    <definedName name="F4.010">NA()</definedName>
    <definedName name="F4.020">NA()</definedName>
    <definedName name="F4.030">NA()</definedName>
    <definedName name="F4.100">NA()</definedName>
    <definedName name="F4.120">NA()</definedName>
    <definedName name="F4.140">NA()</definedName>
    <definedName name="F4.160">NA()</definedName>
    <definedName name="F4.200">NA()</definedName>
    <definedName name="F4.220">NA()</definedName>
    <definedName name="F4.240">NA()</definedName>
    <definedName name="F4.260">NA()</definedName>
    <definedName name="F4.300">NA()</definedName>
    <definedName name="F4.320">NA()</definedName>
    <definedName name="F4.340">NA()</definedName>
    <definedName name="F4.400">NA()</definedName>
    <definedName name="F4.420">NA()</definedName>
    <definedName name="F4.440">NA()</definedName>
    <definedName name="F4.500">NA()</definedName>
    <definedName name="F4.530">NA()</definedName>
    <definedName name="F4.550">NA()</definedName>
    <definedName name="F4.570">NA()</definedName>
    <definedName name="F4.600">NA()</definedName>
    <definedName name="F4.610">NA()</definedName>
    <definedName name="F4.620">NA()</definedName>
    <definedName name="F4.700">NA()</definedName>
    <definedName name="F4.730">NA()</definedName>
    <definedName name="F4.740">NA()</definedName>
    <definedName name="F4.800">NA()</definedName>
    <definedName name="F4.830">NA()</definedName>
    <definedName name="F4.840">NA()</definedName>
    <definedName name="F5.01">NA()</definedName>
    <definedName name="F5.02">NA()</definedName>
    <definedName name="F5.03">NA()</definedName>
    <definedName name="F5.04">NA()</definedName>
    <definedName name="F5.05">NA()</definedName>
    <definedName name="F5.11">NA()</definedName>
    <definedName name="F5.12">NA()</definedName>
    <definedName name="F5.13">NA()</definedName>
    <definedName name="F5.14">NA()</definedName>
    <definedName name="F5.15">NA()</definedName>
    <definedName name="F6.001">NA()</definedName>
    <definedName name="F6.002">NA()</definedName>
    <definedName name="F6.003">NA()</definedName>
    <definedName name="F6.004">NA()</definedName>
    <definedName name="F6A" localSheetId="1" hidden="1">{"'Sheet1'!$L$16"}</definedName>
    <definedName name="F6A" hidden="1">{"'Sheet1'!$L$16"}</definedName>
    <definedName name="F6B" localSheetId="1" hidden="1">{"'Sheet1'!$L$16"}</definedName>
    <definedName name="F6B" hidden="1">{"'Sheet1'!$L$16"}</definedName>
    <definedName name="FAX" localSheetId="2">#REF!</definedName>
    <definedName name="FAX" localSheetId="0">#REF!</definedName>
    <definedName name="FAX" localSheetId="1">#REF!</definedName>
    <definedName name="FAX" localSheetId="3">#REF!</definedName>
    <definedName name="FAX">#REF!</definedName>
    <definedName name="fb">NA()</definedName>
    <definedName name="FCode" localSheetId="0" hidden="1">#REF!</definedName>
    <definedName name="FCode" localSheetId="1" hidden="1">#REF!</definedName>
    <definedName name="FCode" hidden="1">#REF!</definedName>
    <definedName name="FF">NA()</definedName>
    <definedName name="fghfrtj" localSheetId="2">#REF!</definedName>
    <definedName name="fghfrtj" localSheetId="0">#REF!</definedName>
    <definedName name="fghfrtj" localSheetId="1">#REF!</definedName>
    <definedName name="fghfrtj" localSheetId="3">#REF!</definedName>
    <definedName name="fghfrtj">#REF!</definedName>
    <definedName name="Filiere" localSheetId="2">#REF!</definedName>
    <definedName name="Filiere" localSheetId="0">#REF!</definedName>
    <definedName name="Filiere" localSheetId="1">#REF!</definedName>
    <definedName name="Filiere" localSheetId="3">#REF!</definedName>
    <definedName name="Filiere">#REF!</definedName>
    <definedName name="Fiscalité_Stock" localSheetId="2">#REF!</definedName>
    <definedName name="Fiscalité_Stock" localSheetId="0">#REF!</definedName>
    <definedName name="Fiscalité_Stock" localSheetId="1">#REF!</definedName>
    <definedName name="Fiscalité_Stock" localSheetId="3">#REF!</definedName>
    <definedName name="Fiscalité_Stock">#REF!</definedName>
    <definedName name="Fitb">NA()</definedName>
    <definedName name="fonction_enreg" localSheetId="2">'[8]Affecte noms ds nuages pts'!#REF!</definedName>
    <definedName name="fonction_enreg" localSheetId="0">'[8]Affecte noms ds nuages pts'!#REF!</definedName>
    <definedName name="fonction_enreg" localSheetId="1">'[9]Affecte noms ds nuages pts'!#REF!</definedName>
    <definedName name="fonction_enreg" localSheetId="3">'[8]Affecte noms ds nuages pts'!#REF!</definedName>
    <definedName name="fonction_enreg">'[8]Affecte noms ds nuages pts'!#REF!</definedName>
    <definedName name="fonction_enregistr" localSheetId="2">'[8]Affecte noms ds nuages pts'!#REF!</definedName>
    <definedName name="fonction_enregistr" localSheetId="0">'[8]Affecte noms ds nuages pts'!#REF!</definedName>
    <definedName name="fonction_enregistr" localSheetId="1">'[9]Affecte noms ds nuages pts'!#REF!</definedName>
    <definedName name="fonction_enregistr" localSheetId="3">'[8]Affecte noms ds nuages pts'!#REF!</definedName>
    <definedName name="fonction_enregistr">'[8]Affecte noms ds nuages pts'!#REF!</definedName>
    <definedName name="FORK">NA()</definedName>
    <definedName name="FORMULA" localSheetId="2">[10]MERCADO!#REF!</definedName>
    <definedName name="FORMULA" localSheetId="0">[10]MERCADO!#REF!</definedName>
    <definedName name="FORMULA" localSheetId="1">[10]MERCADO!#REF!</definedName>
    <definedName name="FORMULA" localSheetId="3">[10]MERCADO!#REF!</definedName>
    <definedName name="FORMULA">[10]MERCADO!#REF!</definedName>
    <definedName name="FP">NA()</definedName>
    <definedName name="FRAGE">'[11]Market data (by grade) (Euros)'!$B$18:$AA$29</definedName>
    <definedName name="FRAGL" localSheetId="2">'[12]Market data (by grade)'!#REF!</definedName>
    <definedName name="FRAGL" localSheetId="0">'[12]Market data (by grade)'!#REF!</definedName>
    <definedName name="FRAGL" localSheetId="1">'[12]Market data (by grade)'!#REF!</definedName>
    <definedName name="FRAGL" localSheetId="3">'[12]Market data (by grade)'!#REF!</definedName>
    <definedName name="FRAGL">'[12]Market data (by grade)'!#REF!</definedName>
    <definedName name="Frais_gestion" localSheetId="2">#REF!</definedName>
    <definedName name="Frais_gestion" localSheetId="0">#REF!</definedName>
    <definedName name="Frais_gestion" localSheetId="1">#REF!</definedName>
    <definedName name="Frais_gestion" localSheetId="3">#REF!</definedName>
    <definedName name="Frais_gestion">#REF!</definedName>
    <definedName name="Frais_investissement" localSheetId="2">#REF!</definedName>
    <definedName name="Frais_investissement" localSheetId="0">#REF!</definedName>
    <definedName name="Frais_investissement" localSheetId="1">#REF!</definedName>
    <definedName name="Frais_investissement" localSheetId="3">#REF!</definedName>
    <definedName name="Frais_investissement">#REF!</definedName>
    <definedName name="FRCOE">'[11]Market data (by grade) (Euros)'!$B$32:$AA$43</definedName>
    <definedName name="FRCOL" localSheetId="2">'[12]Market data (by grade)'!#REF!</definedName>
    <definedName name="FRCOL" localSheetId="0">'[12]Market data (by grade)'!#REF!</definedName>
    <definedName name="FRCOL" localSheetId="1">'[12]Market data (by grade)'!#REF!</definedName>
    <definedName name="FRCOL" localSheetId="3">'[12]Market data (by grade)'!#REF!</definedName>
    <definedName name="FRCOL">'[12]Market data (by grade)'!#REF!</definedName>
    <definedName name="FRCRE">'[11]Market data (by grade) (Euros)'!$B$18:$AA$29</definedName>
    <definedName name="FRCRL" localSheetId="2">'[12]Market data (by grade)'!#REF!</definedName>
    <definedName name="FRCRL" localSheetId="0">'[12]Market data (by grade)'!#REF!</definedName>
    <definedName name="FRCRL" localSheetId="1">'[12]Market data (by grade)'!#REF!</definedName>
    <definedName name="FRCRL" localSheetId="3">'[12]Market data (by grade)'!#REF!</definedName>
    <definedName name="FRCRL">'[12]Market data (by grade)'!#REF!</definedName>
    <definedName name="FRPHE">'[11]Market data (by grade) (Euros)'!$B$4:$AA$15</definedName>
    <definedName name="FRPHL" localSheetId="2">#REF!</definedName>
    <definedName name="FRPHL" localSheetId="0">#REF!</definedName>
    <definedName name="FRPHL" localSheetId="1">#REF!</definedName>
    <definedName name="FRPHL" localSheetId="3">#REF!</definedName>
    <definedName name="FRPHL">#REF!</definedName>
    <definedName name="FS">'[6]FS BDD'!$G$4:$T$57</definedName>
    <definedName name="fsdfgg">NA()</definedName>
    <definedName name="Full">NA()</definedName>
    <definedName name="g">NA()</definedName>
    <definedName name="G0.000">NA()</definedName>
    <definedName name="G0.010">NA()</definedName>
    <definedName name="G0.020">NA()</definedName>
    <definedName name="G0.100">NA()</definedName>
    <definedName name="G0.110">NA()</definedName>
    <definedName name="G0.120">NA()</definedName>
    <definedName name="G1.000">NA()</definedName>
    <definedName name="G1.011">NA()</definedName>
    <definedName name="G1.021">NA()</definedName>
    <definedName name="G1.031">NA()</definedName>
    <definedName name="G1.041">NA()</definedName>
    <definedName name="G1.051">NA()</definedName>
    <definedName name="G2.000">NA()</definedName>
    <definedName name="G2.010">NA()</definedName>
    <definedName name="G2.020">NA()</definedName>
    <definedName name="G2.030">NA()</definedName>
    <definedName name="G3.000">NA()</definedName>
    <definedName name="G3.011">NA()</definedName>
    <definedName name="G3.021">NA()</definedName>
    <definedName name="G3.031">NA()</definedName>
    <definedName name="G3.041">NA()</definedName>
    <definedName name="G3.100">NA()</definedName>
    <definedName name="G3.111">NA()</definedName>
    <definedName name="G3.121">NA()</definedName>
    <definedName name="G3.131">NA()</definedName>
    <definedName name="G3.141">NA()</definedName>
    <definedName name="G3.201">NA()</definedName>
    <definedName name="G3.211">NA()</definedName>
    <definedName name="G3.221">NA()</definedName>
    <definedName name="G3.231">NA()</definedName>
    <definedName name="G3.241">NA()</definedName>
    <definedName name="G3.301">NA()</definedName>
    <definedName name="G3.311">NA()</definedName>
    <definedName name="G3.321">NA()</definedName>
    <definedName name="G3.331">NA()</definedName>
    <definedName name="G3.341">NA()</definedName>
    <definedName name="G4.000">NA()</definedName>
    <definedName name="G4.010">NA()</definedName>
    <definedName name="G4.020">NA()</definedName>
    <definedName name="G4.030">NA()</definedName>
    <definedName name="G4.040">NA()</definedName>
    <definedName name="G4.101">NA()</definedName>
    <definedName name="G4.111">NA()</definedName>
    <definedName name="G4.121">NA()</definedName>
    <definedName name="G4.131">NA()</definedName>
    <definedName name="G4.141">NA()</definedName>
    <definedName name="G4.151">NA()</definedName>
    <definedName name="G4.161">NA()</definedName>
    <definedName name="G4.171">NA()</definedName>
    <definedName name="G4.200">NA()</definedName>
    <definedName name="G4.210">NA()</definedName>
    <definedName name="G4.220">NA()</definedName>
    <definedName name="gach">NA()</definedName>
    <definedName name="gach2lo">NA()</definedName>
    <definedName name="gach3x10">NA()</definedName>
    <definedName name="gachdac">NA()</definedName>
    <definedName name="gachllatnen30x30">NA()</definedName>
    <definedName name="gachllatnen40x40">NA()</definedName>
    <definedName name="gachllatnen50x50">NA()</definedName>
    <definedName name="gachop10x10">NA()</definedName>
    <definedName name="gachop20x15">NA()</definedName>
    <definedName name="gachvo">NA()</definedName>
    <definedName name="gamatc">NA()</definedName>
    <definedName name="gc">NA()</definedName>
    <definedName name="GC_CT">NA()</definedName>
    <definedName name="GC_CT1">NA()</definedName>
    <definedName name="gcHT">NA()</definedName>
    <definedName name="GEAGE">'[11]Market data (by grade) (Euros)'!$B$60:$AA$71</definedName>
    <definedName name="GEAGL" localSheetId="2">#REF!</definedName>
    <definedName name="GEAGL" localSheetId="0">#REF!</definedName>
    <definedName name="GEAGL" localSheetId="1">#REF!</definedName>
    <definedName name="GEAGL" localSheetId="3">#REF!</definedName>
    <definedName name="GEAGL">#REF!</definedName>
    <definedName name="GECOE">'[11]Market data (by grade) (Euros)'!$B$74:$AA$85</definedName>
    <definedName name="GECOL" localSheetId="2">#REF!</definedName>
    <definedName name="GECOL" localSheetId="0">#REF!</definedName>
    <definedName name="GECOL" localSheetId="1">#REF!</definedName>
    <definedName name="GECOL" localSheetId="3">#REF!</definedName>
    <definedName name="GECOL">#REF!</definedName>
    <definedName name="GECRE">'[11]Market data (by grade) (Euros)'!$B$60:$AA$71</definedName>
    <definedName name="GECRL" localSheetId="2">#REF!</definedName>
    <definedName name="GECRL" localSheetId="0">#REF!</definedName>
    <definedName name="GECRL" localSheetId="1">#REF!</definedName>
    <definedName name="GECRL" localSheetId="3">#REF!</definedName>
    <definedName name="GECRL">#REF!</definedName>
    <definedName name="geoid" localSheetId="2">#REF!</definedName>
    <definedName name="geoid" localSheetId="0">#REF!</definedName>
    <definedName name="geoid" localSheetId="1">#REF!</definedName>
    <definedName name="geoid" localSheetId="3">#REF!</definedName>
    <definedName name="geoid">#REF!</definedName>
    <definedName name="GEPHE">'[11]Market data (by grade) (Euros)'!$B$46:$AA$57</definedName>
    <definedName name="GEPHL" localSheetId="2">#REF!</definedName>
    <definedName name="GEPHL" localSheetId="0">#REF!</definedName>
    <definedName name="GEPHL" localSheetId="1">#REF!</definedName>
    <definedName name="GEPHL" localSheetId="3">#REF!</definedName>
    <definedName name="GEPHL">#REF!</definedName>
    <definedName name="gh">NA()</definedName>
    <definedName name="GHHHS" localSheetId="1" hidden="1">{"'Sheet1'!$L$16"}</definedName>
    <definedName name="GHHHS" hidden="1">{"'Sheet1'!$L$16"}</definedName>
    <definedName name="ghyt"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ghyt"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gia">NA()</definedName>
    <definedName name="giaca">NA()</definedName>
    <definedName name="giacong">NA()</definedName>
    <definedName name="gica_bq">NA()</definedName>
    <definedName name="gica_bv">NA()</definedName>
    <definedName name="gica_ck">NA()</definedName>
    <definedName name="gica_d1">NA()</definedName>
    <definedName name="gica_d2">NA()</definedName>
    <definedName name="gica_d3">NA()</definedName>
    <definedName name="gica_dl">NA()</definedName>
    <definedName name="gica_kcs">NA()</definedName>
    <definedName name="gica_nb">NA()</definedName>
    <definedName name="gica_ngio">NA()</definedName>
    <definedName name="gica_nv">NA()</definedName>
    <definedName name="gica_t3">NA()</definedName>
    <definedName name="gica_t4">NA()</definedName>
    <definedName name="gica_t5">NA()</definedName>
    <definedName name="gica_t6">NA()</definedName>
    <definedName name="gica_tc">NA()</definedName>
    <definedName name="gica_tm">NA()</definedName>
    <definedName name="gica_vs">NA()</definedName>
    <definedName name="gica_xh">NA()</definedName>
    <definedName name="gio_bq">NA()</definedName>
    <definedName name="gio_d1">NA()</definedName>
    <definedName name="gio_d2">NA()</definedName>
    <definedName name="gio_d3">NA()</definedName>
    <definedName name="gio_dl">NA()</definedName>
    <definedName name="gio_kcs">NA()</definedName>
    <definedName name="gio_ngio">NA()</definedName>
    <definedName name="gio_t3">NA()</definedName>
    <definedName name="gio_t4">NA()</definedName>
    <definedName name="gio_t5">NA()</definedName>
    <definedName name="gio_t6">NA()</definedName>
    <definedName name="gio_vs">NA()</definedName>
    <definedName name="gio_xh">NA()</definedName>
    <definedName name="Go">NA()</definedName>
    <definedName name="GoBack" localSheetId="1">'LABOR COST '!GoBack</definedName>
    <definedName name="GoBack">GoBack</definedName>
    <definedName name="goc">NA()</definedName>
    <definedName name="gochong">NA()</definedName>
    <definedName name="godan">NA()</definedName>
    <definedName name="GPT_GROUNDING_PT">NA()</definedName>
    <definedName name="grC">NA()</definedName>
    <definedName name="grD">NA()</definedName>
    <definedName name="gtb">NA()</definedName>
    <definedName name="gv">NA()</definedName>
    <definedName name="gvl">NA()</definedName>
    <definedName name="h" localSheetId="1" hidden="1">{"'Sheet1'!$L$16"}</definedName>
    <definedName name="h" hidden="1">{"'Sheet1'!$L$16"}</definedName>
    <definedName name="h.2">NA()</definedName>
    <definedName name="H0.001">NA()</definedName>
    <definedName name="H0.011">NA()</definedName>
    <definedName name="H0.021">NA()</definedName>
    <definedName name="H0.031">NA()</definedName>
    <definedName name="h1_">NA()</definedName>
    <definedName name="h2_">NA()</definedName>
    <definedName name="h3_">NA()</definedName>
    <definedName name="h4_">NA()</definedName>
    <definedName name="h5_">NA()</definedName>
    <definedName name="h6_">NA()</definedName>
    <definedName name="h7_">NA()</definedName>
    <definedName name="hai">NA()</definedName>
    <definedName name="hanh" localSheetId="1" hidden="1">{"'Sheet1'!$L$16"}</definedName>
    <definedName name="hanh" hidden="1">{"'Sheet1'!$L$16"}</definedName>
    <definedName name="Hb">NA()</definedName>
    <definedName name="HDCCT">NA()</definedName>
    <definedName name="HDCD">NA()</definedName>
    <definedName name="Heä_soá_laép_xaø_H">1.7</definedName>
    <definedName name="HeadTitle">[7]Source!$F$14:$F$20</definedName>
    <definedName name="hello1">NA()</definedName>
    <definedName name="HFS">'[6]hors FS BDD'!$E$4:$R$65</definedName>
    <definedName name="hgh" localSheetId="2">#REF!</definedName>
    <definedName name="hgh" localSheetId="0">#REF!</definedName>
    <definedName name="hgh" localSheetId="1">#REF!</definedName>
    <definedName name="hgh" localSheetId="3">#REF!</definedName>
    <definedName name="hgh">#REF!</definedName>
    <definedName name="hghj" localSheetId="2">#REF!</definedName>
    <definedName name="hghj" localSheetId="0">#REF!</definedName>
    <definedName name="hghj" localSheetId="1">#REF!</definedName>
    <definedName name="hghj" localSheetId="3">#REF!</definedName>
    <definedName name="hghj">#REF!</definedName>
    <definedName name="HH15HT">NA()</definedName>
    <definedName name="HH16HT">NA()</definedName>
    <definedName name="HH19HT">NA()</definedName>
    <definedName name="HH20HT">NA()</definedName>
    <definedName name="hhcv">NA()</definedName>
    <definedName name="hhda4x6">NA()</definedName>
    <definedName name="hhxm">NA()</definedName>
    <definedName name="HiddenRows" localSheetId="0" hidden="1">#REF!</definedName>
    <definedName name="HiddenRows" localSheetId="1" hidden="1">#REF!</definedName>
    <definedName name="HiddenRows" hidden="1">#REF!</definedName>
    <definedName name="hn">NA()</definedName>
    <definedName name="hnc">NA()</definedName>
    <definedName name="HOAN">NA()</definedName>
    <definedName name="hoc">55000</definedName>
    <definedName name="Hpl">NA()</definedName>
    <definedName name="hs">NA()</definedName>
    <definedName name="HSCT3">0.1</definedName>
    <definedName name="hsdc4">NA()</definedName>
    <definedName name="HSDD">NA()</definedName>
    <definedName name="HSDN">2.5</definedName>
    <definedName name="hskhac">NA()</definedName>
    <definedName name="HSKK">NA()</definedName>
    <definedName name="hskk1">NA()</definedName>
    <definedName name="HSlanxe">NA()</definedName>
    <definedName name="HSM">NA()</definedName>
    <definedName name="HSNC">NA()</definedName>
    <definedName name="ht25nc">NA()</definedName>
    <definedName name="ht25vl">NA()</definedName>
    <definedName name="ht325nc">NA()</definedName>
    <definedName name="ht325vl">NA()</definedName>
    <definedName name="ht37k">NA()</definedName>
    <definedName name="ht37nc">NA()</definedName>
    <definedName name="ht50nc">NA()</definedName>
    <definedName name="ht50vl">NA()</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E">NA()</definedName>
    <definedName name="huy" localSheetId="1" hidden="1">{"'Sheet1'!$L$16"}</definedName>
    <definedName name="huy" hidden="1">{"'Sheet1'!$L$16"}</definedName>
    <definedName name="Hy">NA()</definedName>
    <definedName name="I2É6">NA()</definedName>
    <definedName name="Impôt_demi_part" localSheetId="2">#REF!</definedName>
    <definedName name="Impôt_demi_part" localSheetId="0">#REF!</definedName>
    <definedName name="Impôt_demi_part" localSheetId="1">#REF!</definedName>
    <definedName name="Impôt_demi_part" localSheetId="3">#REF!</definedName>
    <definedName name="Impôt_demi_part">#REF!</definedName>
    <definedName name="Index1" localSheetId="2">#REF!</definedName>
    <definedName name="Index1" localSheetId="0">#REF!</definedName>
    <definedName name="Index1" localSheetId="1">#REF!</definedName>
    <definedName name="Index1" localSheetId="3">#REF!</definedName>
    <definedName name="Index1">#REF!</definedName>
    <definedName name="Index1H">[13]interpolh!$B$5</definedName>
    <definedName name="Index2" localSheetId="2">#REF!</definedName>
    <definedName name="Index2" localSheetId="0">#REF!</definedName>
    <definedName name="Index2" localSheetId="1">#REF!</definedName>
    <definedName name="Index2" localSheetId="3">#REF!</definedName>
    <definedName name="Index2">#REF!</definedName>
    <definedName name="Index2H">[13]interpolh!$B$8</definedName>
    <definedName name="Inflation" localSheetId="2">#REF!</definedName>
    <definedName name="Inflation" localSheetId="0">#REF!</definedName>
    <definedName name="Inflation" localSheetId="1">#REF!</definedName>
    <definedName name="Inflation" localSheetId="3">#REF!</definedName>
    <definedName name="Inflation">#REF!</definedName>
    <definedName name="INTEPOUREFF" localSheetId="2">'[1]Marché voiture'!#REF!</definedName>
    <definedName name="INTEPOUREFF" localSheetId="0">'[1]Marché voiture'!#REF!</definedName>
    <definedName name="INTEPOUREFF" localSheetId="1">'[1]Marché voiture'!#REF!</definedName>
    <definedName name="INTEPOUREFF" localSheetId="3">'[1]Marché voiture'!#REF!</definedName>
    <definedName name="INTEPOUREFF">'[1]Marché voiture'!#REF!</definedName>
    <definedName name="INTEPOURSB" localSheetId="2">'[1]Marché voiture'!#REF!</definedName>
    <definedName name="INTEPOURSB" localSheetId="0">'[1]Marché voiture'!#REF!</definedName>
    <definedName name="INTEPOURSB" localSheetId="1">'[1]Marché voiture'!#REF!</definedName>
    <definedName name="INTEPOURSB" localSheetId="3">'[1]Marché voiture'!#REF!</definedName>
    <definedName name="INTEPOURSB">'[1]Marché voiture'!#REF!</definedName>
    <definedName name="interpol">[14]interpol!$B$1</definedName>
    <definedName name="intpouref" localSheetId="2">'[1]Marché voiture'!#REF!</definedName>
    <definedName name="intpouref" localSheetId="0">'[1]Marché voiture'!#REF!</definedName>
    <definedName name="intpouref" localSheetId="1">'[1]Marché voiture'!#REF!</definedName>
    <definedName name="intpouref" localSheetId="3">'[1]Marché voiture'!#REF!</definedName>
    <definedName name="intpouref">'[1]Marché voiture'!#REF!</definedName>
    <definedName name="intpoureff" localSheetId="2">'[1]Marché voiture'!#REF!</definedName>
    <definedName name="intpoureff" localSheetId="0">'[1]Marché voiture'!#REF!</definedName>
    <definedName name="intpoureff" localSheetId="1">'[1]Marché voiture'!#REF!</definedName>
    <definedName name="intpoureff" localSheetId="3">'[1]Marché voiture'!#REF!</definedName>
    <definedName name="intpoureff">'[1]Marché voiture'!#REF!</definedName>
    <definedName name="intpoursb" localSheetId="2">'[1]Marché voiture'!#REF!</definedName>
    <definedName name="intpoursb" localSheetId="0">'[1]Marché voiture'!#REF!</definedName>
    <definedName name="intpoursb" localSheetId="1">'[1]Marché voiture'!#REF!</definedName>
    <definedName name="intpoursb" localSheetId="3">'[1]Marché voiture'!#REF!</definedName>
    <definedName name="intpoursb">'[1]Marché voiture'!#REF!</definedName>
    <definedName name="intpousb" localSheetId="2">'[1]Marché voiture'!#REF!</definedName>
    <definedName name="intpousb" localSheetId="0">'[1]Marché voiture'!#REF!</definedName>
    <definedName name="intpousb" localSheetId="1">'[1]Marché voiture'!#REF!</definedName>
    <definedName name="intpousb" localSheetId="3">'[1]Marché voiture'!#REF!</definedName>
    <definedName name="intpousb">'[1]Marché voiture'!#REF!</definedName>
    <definedName name="IO">NA()</definedName>
    <definedName name="IV_3_Fonc" localSheetId="2">#REF!</definedName>
    <definedName name="IV_3_Fonc" localSheetId="0">#REF!</definedName>
    <definedName name="IV_3_Fonc" localSheetId="1">#REF!</definedName>
    <definedName name="IV_3_Fonc" localSheetId="3">#REF!</definedName>
    <definedName name="IV_3_Fonc">#REF!</definedName>
    <definedName name="IV_4_Contr" localSheetId="2">#REF!</definedName>
    <definedName name="IV_4_Contr" localSheetId="0">#REF!</definedName>
    <definedName name="IV_4_Contr" localSheetId="1">#REF!</definedName>
    <definedName name="IV_4_Contr" localSheetId="3">#REF!</definedName>
    <definedName name="IV_4_Contr">#REF!</definedName>
    <definedName name="IV_4_Fonc" localSheetId="2">#REF!</definedName>
    <definedName name="IV_4_Fonc" localSheetId="0">#REF!</definedName>
    <definedName name="IV_4_Fonc" localSheetId="1">#REF!</definedName>
    <definedName name="IV_4_Fonc" localSheetId="3">#REF!</definedName>
    <definedName name="IV_4_Fonc">#REF!</definedName>
    <definedName name="IV_5_Contr" localSheetId="2">#REF!</definedName>
    <definedName name="IV_5_Contr" localSheetId="0">#REF!</definedName>
    <definedName name="IV_5_Contr" localSheetId="3">#REF!</definedName>
    <definedName name="IV_5_Contr">#REF!</definedName>
    <definedName name="IV_5_et_6_Fonc" localSheetId="2">#REF!</definedName>
    <definedName name="IV_5_et_6_Fonc" localSheetId="0">#REF!</definedName>
    <definedName name="IV_5_et_6_Fonc" localSheetId="3">#REF!</definedName>
    <definedName name="IV_5_et_6_Fonc">#REF!</definedName>
    <definedName name="IV_6_Contr" localSheetId="2">#REF!</definedName>
    <definedName name="IV_6_Contr" localSheetId="0">#REF!</definedName>
    <definedName name="IV_6_Contr" localSheetId="3">#REF!</definedName>
    <definedName name="IV_6_Contr">#REF!</definedName>
    <definedName name="J._ASSAHUER" localSheetId="2">#REF!</definedName>
    <definedName name="J._ASSAHUER" localSheetId="0">#REF!</definedName>
    <definedName name="J._ASSAHUER" localSheetId="3">#REF!</definedName>
    <definedName name="J._ASSAHUER">#REF!</definedName>
    <definedName name="jdfjgKSDJgh" localSheetId="1" hidden="1">{"'Sheet1'!$L$16"}</definedName>
    <definedName name="jdfjgKSDJgh" hidden="1">{"'Sheet1'!$L$16"}</definedName>
    <definedName name="jerjj" localSheetId="2">#REF!</definedName>
    <definedName name="jerjj" localSheetId="0">#REF!</definedName>
    <definedName name="jerjj" localSheetId="3">#REF!</definedName>
    <definedName name="jerjj">#REF!</definedName>
    <definedName name="jhljklg" localSheetId="2">#REF!</definedName>
    <definedName name="jhljklg" localSheetId="0">#REF!</definedName>
    <definedName name="jhljklg" localSheetId="3">#REF!</definedName>
    <definedName name="jhljklg">#REF!</definedName>
    <definedName name="jkljl" localSheetId="2">#REF!</definedName>
    <definedName name="jkljl" localSheetId="0">#REF!</definedName>
    <definedName name="jkljl" localSheetId="3">#REF!</definedName>
    <definedName name="jkljl">#REF!</definedName>
    <definedName name="K_1" localSheetId="1">'LABOR COST '!K_1</definedName>
    <definedName name="K_1">K_1</definedName>
    <definedName name="K_2" localSheetId="1">'LABOR COST '!K_2</definedName>
    <definedName name="K_2">K_2</definedName>
    <definedName name="K0.001">NA()</definedName>
    <definedName name="K0.011">NA()</definedName>
    <definedName name="K0.101">NA()</definedName>
    <definedName name="K0.111">NA()</definedName>
    <definedName name="K0.201">NA()</definedName>
    <definedName name="K0.211">NA()</definedName>
    <definedName name="K0.301">NA()</definedName>
    <definedName name="K0.311">NA()</definedName>
    <definedName name="K0.400">NA()</definedName>
    <definedName name="K0.410">NA()</definedName>
    <definedName name="K0.501">NA()</definedName>
    <definedName name="K0.511">NA()</definedName>
    <definedName name="K0.61">NA()</definedName>
    <definedName name="K0.71">NA()</definedName>
    <definedName name="K1.001">NA()</definedName>
    <definedName name="K1.021">NA()</definedName>
    <definedName name="K1.041">NA()</definedName>
    <definedName name="K1.121">NA()</definedName>
    <definedName name="K1.201">NA()</definedName>
    <definedName name="K1.211">NA()</definedName>
    <definedName name="K1.221">NA()</definedName>
    <definedName name="K1.301">NA()</definedName>
    <definedName name="K1.321">NA()</definedName>
    <definedName name="K1.331">NA()</definedName>
    <definedName name="K1.341">NA()</definedName>
    <definedName name="K1.401">NA()</definedName>
    <definedName name="K1.411">NA()</definedName>
    <definedName name="K1.421">NA()</definedName>
    <definedName name="K1.431">NA()</definedName>
    <definedName name="K1.441">NA()</definedName>
    <definedName name="K2.001">NA()</definedName>
    <definedName name="K2.011">NA()</definedName>
    <definedName name="K2.021">NA()</definedName>
    <definedName name="K2.031">NA()</definedName>
    <definedName name="K2.041">NA()</definedName>
    <definedName name="K2.101">NA()</definedName>
    <definedName name="K2.111">NA()</definedName>
    <definedName name="K2.121">NA()</definedName>
    <definedName name="K2.131">NA()</definedName>
    <definedName name="K2.141">NA()</definedName>
    <definedName name="K2.201">NA()</definedName>
    <definedName name="K2.211">NA()</definedName>
    <definedName name="K2.221">NA()</definedName>
    <definedName name="K2.231">NA()</definedName>
    <definedName name="K2.241">NA()</definedName>
    <definedName name="K2.301">NA()</definedName>
    <definedName name="K2.321">NA()</definedName>
    <definedName name="K2.341">NA()</definedName>
    <definedName name="K2.400">NA()</definedName>
    <definedName name="K2.420">NA()</definedName>
    <definedName name="K2.440">NA()</definedName>
    <definedName name="K2.500">NA()</definedName>
    <definedName name="K2.520">NA()</definedName>
    <definedName name="K2.540">NA()</definedName>
    <definedName name="k2b">NA()</definedName>
    <definedName name="K3.210">NA()</definedName>
    <definedName name="K3.220">NA()</definedName>
    <definedName name="K3.230">NA()</definedName>
    <definedName name="K3.310">NA()</definedName>
    <definedName name="K3.320">NA()</definedName>
    <definedName name="K3.330">NA()</definedName>
    <definedName name="K3.410">NA()</definedName>
    <definedName name="K3.430">NA()</definedName>
    <definedName name="K3.450">NA()</definedName>
    <definedName name="K4.010">NA()</definedName>
    <definedName name="K4.020">NA()</definedName>
    <definedName name="K4.110">NA()</definedName>
    <definedName name="K4.120">NA()</definedName>
    <definedName name="K4.210">NA()</definedName>
    <definedName name="K4.220">NA()</definedName>
    <definedName name="K4.230">NA()</definedName>
    <definedName name="K4.240">NA()</definedName>
    <definedName name="keot0405">NA()</definedName>
    <definedName name="khac">2</definedName>
    <definedName name="KHBHT04">NA()</definedName>
    <definedName name="Khocau">NA()</definedName>
    <definedName name="KhuyenmaiUPS">"AutoShape 264"</definedName>
    <definedName name="kldd1p">NA()</definedName>
    <definedName name="kldd3p">NA()</definedName>
    <definedName name="kmong">NA()</definedName>
    <definedName name="kno">NA()</definedName>
    <definedName name="kshv">NA()</definedName>
    <definedName name="KTTRAMD1">NA()</definedName>
    <definedName name="lan" localSheetId="1" hidden="1">{#N/A,#N/A,TRUE,"BT M200 da 10x20"}</definedName>
    <definedName name="lan" hidden="1">{#N/A,#N/A,TRUE,"BT M200 da 10x20"}</definedName>
    <definedName name="LANDIMP">NA()</definedName>
    <definedName name="LANDREV">NA()</definedName>
    <definedName name="lanh_bq">NA()</definedName>
    <definedName name="lanh_bv">NA()</definedName>
    <definedName name="lanh_ck">NA()</definedName>
    <definedName name="lanh_d1">NA()</definedName>
    <definedName name="lanh_d2">NA()</definedName>
    <definedName name="lanh_d3">NA()</definedName>
    <definedName name="lanh_dl">NA()</definedName>
    <definedName name="lanh_kcs">NA()</definedName>
    <definedName name="lanh_nb">NA()</definedName>
    <definedName name="lanh_ngio">NA()</definedName>
    <definedName name="lanh_nv">NA()</definedName>
    <definedName name="lanh_t3">NA()</definedName>
    <definedName name="lanh_t4">NA()</definedName>
    <definedName name="lanh_t5">NA()</definedName>
    <definedName name="lanh_t6">NA()</definedName>
    <definedName name="lanh_tc">NA()</definedName>
    <definedName name="lanh_tm">NA()</definedName>
    <definedName name="lanh_vs">NA()</definedName>
    <definedName name="lanh_xh">NA()</definedName>
    <definedName name="lapa">NA()</definedName>
    <definedName name="lapb">NA()</definedName>
    <definedName name="lapc">NA()</definedName>
    <definedName name="lcb_bq">NA()</definedName>
    <definedName name="lcb_bv">NA()</definedName>
    <definedName name="lcb_ck">NA()</definedName>
    <definedName name="lcb_d1">NA()</definedName>
    <definedName name="lcb_d2">NA()</definedName>
    <definedName name="lcb_d3">NA()</definedName>
    <definedName name="lcb_dl">NA()</definedName>
    <definedName name="lcb_kcs">NA()</definedName>
    <definedName name="lcb_nb">NA()</definedName>
    <definedName name="lcb_ngio">NA()</definedName>
    <definedName name="lcb_nv">NA()</definedName>
    <definedName name="lcb_t3">NA()</definedName>
    <definedName name="lcb_t4">NA()</definedName>
    <definedName name="lcb_t5">NA()</definedName>
    <definedName name="lcb_t6">NA()</definedName>
    <definedName name="lcb_tc">NA()</definedName>
    <definedName name="lcb_tm">NA()</definedName>
    <definedName name="lcb_vs">NA()</definedName>
    <definedName name="lcb_xh">NA()</definedName>
    <definedName name="le_bq">NA()</definedName>
    <definedName name="le_bv">NA()</definedName>
    <definedName name="le_ck">NA()</definedName>
    <definedName name="le_d1">NA()</definedName>
    <definedName name="le_d2">NA()</definedName>
    <definedName name="le_d3">NA()</definedName>
    <definedName name="le_dl">NA()</definedName>
    <definedName name="le_kcs">NA()</definedName>
    <definedName name="le_nb">NA()</definedName>
    <definedName name="le_ngio">NA()</definedName>
    <definedName name="le_nv">NA()</definedName>
    <definedName name="le_t3">NA()</definedName>
    <definedName name="le_t4">NA()</definedName>
    <definedName name="le_t5">NA()</definedName>
    <definedName name="le_t6">NA()</definedName>
    <definedName name="le_tc">NA()</definedName>
    <definedName name="le_tm">NA()</definedName>
    <definedName name="le_vs">NA()</definedName>
    <definedName name="le_xh">NA()</definedName>
    <definedName name="level" localSheetId="2">#REF!</definedName>
    <definedName name="level" localSheetId="0">#REF!</definedName>
    <definedName name="level" localSheetId="1">#REF!</definedName>
    <definedName name="level" localSheetId="3">#REF!</definedName>
    <definedName name="level">#REF!</definedName>
    <definedName name="Lf">NA()</definedName>
    <definedName name="lgil" localSheetId="2">#REF!</definedName>
    <definedName name="lgil" localSheetId="0">#REF!</definedName>
    <definedName name="lgil" localSheetId="1">#REF!</definedName>
    <definedName name="lgil" localSheetId="3">#REF!</definedName>
    <definedName name="lgil">#REF!</definedName>
    <definedName name="LH">NA()</definedName>
    <definedName name="Limite_décote" localSheetId="2">#REF!</definedName>
    <definedName name="Limite_décote" localSheetId="0">#REF!</definedName>
    <definedName name="Limite_décote" localSheetId="1">#REF!</definedName>
    <definedName name="Limite_décote" localSheetId="3">#REF!</definedName>
    <definedName name="Limite_décote">#REF!</definedName>
    <definedName name="LINE" localSheetId="1">#REF!</definedName>
    <definedName name="Line">[15]Sheet1!$C$2:$C$23</definedName>
    <definedName name="LineHN">[16]Sheet1!$B$1:$B$15</definedName>
    <definedName name="liste" localSheetId="2">#REF!</definedName>
    <definedName name="liste" localSheetId="0">#REF!</definedName>
    <definedName name="liste" localSheetId="1">#REF!</definedName>
    <definedName name="liste" localSheetId="3">#REF!</definedName>
    <definedName name="liste">#REF!</definedName>
    <definedName name="liste_soc" localSheetId="2">'[1]Marché voiture'!#REF!</definedName>
    <definedName name="liste_soc" localSheetId="0">'[1]Marché voiture'!#REF!</definedName>
    <definedName name="liste_soc" localSheetId="1">'[1]Marché voiture'!#REF!</definedName>
    <definedName name="liste_soc" localSheetId="3">'[1]Marché voiture'!#REF!</definedName>
    <definedName name="liste_soc">'[1]Marché voiture'!#REF!</definedName>
    <definedName name="liste_societ" localSheetId="2">'[1]Marché voiture'!#REF!</definedName>
    <definedName name="liste_societ" localSheetId="0">'[1]Marché voiture'!#REF!</definedName>
    <definedName name="liste_societ" localSheetId="1">'[1]Marché voiture'!#REF!</definedName>
    <definedName name="liste_societ" localSheetId="3">'[1]Marché voiture'!#REF!</definedName>
    <definedName name="liste_societ">'[1]Marché voiture'!#REF!</definedName>
    <definedName name="LISTE_SOCIETES" localSheetId="2">'[1]Marché voiture'!#REF!</definedName>
    <definedName name="LISTE_SOCIETES" localSheetId="0">'[1]Marché voiture'!#REF!</definedName>
    <definedName name="LISTE_SOCIETES" localSheetId="1">'[1]Marché voiture'!#REF!</definedName>
    <definedName name="LISTE_SOCIETES" localSheetId="3">'[1]Marché voiture'!#REF!</definedName>
    <definedName name="LISTE_SOCIETES">'[1]Marché voiture'!#REF!</definedName>
    <definedName name="liuluil" localSheetId="2">#REF!</definedName>
    <definedName name="liuluil" localSheetId="0">#REF!</definedName>
    <definedName name="liuluil" localSheetId="1">#REF!</definedName>
    <definedName name="liuluil" localSheetId="3">#REF!</definedName>
    <definedName name="liuluil">#REF!</definedName>
    <definedName name="ll" localSheetId="2">#REF!</definedName>
    <definedName name="ll" localSheetId="0">#REF!</definedName>
    <definedName name="ll" localSheetId="1">#REF!</definedName>
    <definedName name="ll" localSheetId="3">#REF!</definedName>
    <definedName name="ll">#REF!</definedName>
    <definedName name="lnhuan">NA()</definedName>
    <definedName name="Lot">[7]Source!$D$4:$D$10</definedName>
    <definedName name="Ltt">NA()</definedName>
    <definedName name="luoithep">NA()</definedName>
    <definedName name="m102bnnc">NA()</definedName>
    <definedName name="m102bnvl">NA()</definedName>
    <definedName name="m10aamtc">NA()</definedName>
    <definedName name="m10aanc">NA()</definedName>
    <definedName name="m10aavl">NA()</definedName>
    <definedName name="m10anc">NA()</definedName>
    <definedName name="m10avl">NA()</definedName>
    <definedName name="m10banc">NA()</definedName>
    <definedName name="m10bavl">NA()</definedName>
    <definedName name="m122bnnc">NA()</definedName>
    <definedName name="m122bnvl">NA()</definedName>
    <definedName name="m12aanc">NA()</definedName>
    <definedName name="m12aavl">NA()</definedName>
    <definedName name="m12anc">NA()</definedName>
    <definedName name="m12avl">NA()</definedName>
    <definedName name="m12banc">NA()</definedName>
    <definedName name="m12bavl">NA()</definedName>
    <definedName name="m12bbnc">NA()</definedName>
    <definedName name="m12bbvl">NA()</definedName>
    <definedName name="M12bnnc">NA()</definedName>
    <definedName name="M12bnvl">NA()</definedName>
    <definedName name="m142bnnc">NA()</definedName>
    <definedName name="m142bnvl">NA()</definedName>
    <definedName name="m14bbnc">NA()</definedName>
    <definedName name="M14bbvc">NA()</definedName>
    <definedName name="m14bbvl">NA()</definedName>
    <definedName name="M8a">NA()</definedName>
    <definedName name="M8aa">NA()</definedName>
    <definedName name="m8amtc">NA()</definedName>
    <definedName name="m8anc">NA()</definedName>
    <definedName name="m8avl">NA()</definedName>
    <definedName name="MADONVI">NA()</definedName>
    <definedName name="MADV_DANHMUC">NA()</definedName>
    <definedName name="MAHH_DANHMUC">NA()</definedName>
    <definedName name="makeit1">NA()</definedName>
    <definedName name="MAKHM_KHM">NA()</definedName>
    <definedName name="MANL_DANHMUC">NA()</definedName>
    <definedName name="MANPL_DANHMUC">NA()</definedName>
    <definedName name="marché">[6]Marchés!$A$3:$B$143</definedName>
    <definedName name="marché_SO">[6]Stock!$A$2:$B$100</definedName>
    <definedName name="MAT">NA()</definedName>
    <definedName name="MATP_BCX_NL">NA()</definedName>
    <definedName name="MB_Intel_Server_C440GX_Dual_Sl2_ATX">NA()</definedName>
    <definedName name="MB_Tomato_810B_Twin">NA()</definedName>
    <definedName name="MBAC">NA()</definedName>
    <definedName name="mbnc">NA()</definedName>
    <definedName name="mbvl">NA()</definedName>
    <definedName name="MF">NA()</definedName>
    <definedName name="mm" localSheetId="2">#REF!</definedName>
    <definedName name="mm" localSheetId="0">#REF!</definedName>
    <definedName name="mm" localSheetId="1">#REF!</definedName>
    <definedName name="mm" localSheetId="3">#REF!</definedName>
    <definedName name="mm">#REF!</definedName>
    <definedName name="mmm">NA()</definedName>
    <definedName name="MNAM">NA()</definedName>
    <definedName name="MNTHTH">NA()</definedName>
    <definedName name="MNTN">NA()</definedName>
    <definedName name="MNTT">NA()</definedName>
    <definedName name="moc">NA()</definedName>
    <definedName name="morning1">NA()</definedName>
    <definedName name="mp1x25">NA()</definedName>
    <definedName name="mt">NA()</definedName>
    <definedName name="MTC1P">NA()</definedName>
    <definedName name="MTC3P">NA()</definedName>
    <definedName name="MTCHC">NA()</definedName>
    <definedName name="MTCMB">NA()</definedName>
    <definedName name="mtr">NA()</definedName>
    <definedName name="MV">NA()</definedName>
    <definedName name="n">NA()</definedName>
    <definedName name="N1IN">NA()</definedName>
    <definedName name="n1pignc">NA()</definedName>
    <definedName name="n1pigvl">NA()</definedName>
    <definedName name="n1pindnc">NA()</definedName>
    <definedName name="n1pindvl">NA()</definedName>
    <definedName name="n1pingnc">NA()</definedName>
    <definedName name="n1pingvl">NA()</definedName>
    <definedName name="n1pintnc">NA()</definedName>
    <definedName name="n1pintvl">NA()</definedName>
    <definedName name="n24nc">NA()</definedName>
    <definedName name="n24vl">NA()</definedName>
    <definedName name="n2mignc">NA()</definedName>
    <definedName name="n2migvl">NA()</definedName>
    <definedName name="n2min1nc">NA()</definedName>
    <definedName name="n2min1vl">NA()</definedName>
    <definedName name="nanghang">NA()</definedName>
    <definedName name="NB_ENREG" localSheetId="2">'[1]Marché voiture'!#REF!</definedName>
    <definedName name="NB_ENREG" localSheetId="0">'[1]Marché voiture'!#REF!</definedName>
    <definedName name="NB_ENREG" localSheetId="1">'[1]Marché voiture'!#REF!</definedName>
    <definedName name="NB_ENREG" localSheetId="3">'[1]Marché voiture'!#REF!</definedName>
    <definedName name="NB_ENREG">'[1]Marché voiture'!#REF!</definedName>
    <definedName name="nb_enregis" localSheetId="2">'[1]Marché voiture'!#REF!</definedName>
    <definedName name="nb_enregis" localSheetId="0">'[1]Marché voiture'!#REF!</definedName>
    <definedName name="nb_enregis" localSheetId="1">'[1]Marché voiture'!#REF!</definedName>
    <definedName name="nb_enregis" localSheetId="3">'[1]Marché voiture'!#REF!</definedName>
    <definedName name="nb_enregis">'[1]Marché voiture'!#REF!</definedName>
    <definedName name="nb_enrg" localSheetId="2">'[1]Marché voiture'!#REF!</definedName>
    <definedName name="nb_enrg" localSheetId="0">'[1]Marché voiture'!#REF!</definedName>
    <definedName name="nb_enrg" localSheetId="1">'[1]Marché voiture'!#REF!</definedName>
    <definedName name="nb_enrg" localSheetId="3">'[1]Marché voiture'!#REF!</definedName>
    <definedName name="nb_enrg">'[1]Marché voiture'!#REF!</definedName>
    <definedName name="nb_ind" localSheetId="2">'[1]Marché voiture'!#REF!</definedName>
    <definedName name="nb_ind" localSheetId="0">'[1]Marché voiture'!#REF!</definedName>
    <definedName name="nb_ind" localSheetId="1">'[1]Marché voiture'!#REF!</definedName>
    <definedName name="nb_ind" localSheetId="3">'[1]Marché voiture'!#REF!</definedName>
    <definedName name="nb_ind">'[1]Marché voiture'!#REF!</definedName>
    <definedName name="nb_indiç" localSheetId="2">'[1]Marché voiture'!#REF!</definedName>
    <definedName name="nb_indiç" localSheetId="0">'[1]Marché voiture'!#REF!</definedName>
    <definedName name="nb_indiç" localSheetId="1">'[1]Marché voiture'!#REF!</definedName>
    <definedName name="nb_indiç" localSheetId="3">'[1]Marché voiture'!#REF!</definedName>
    <definedName name="nb_indiç">'[1]Marché voiture'!#REF!</definedName>
    <definedName name="NB_INDIV" localSheetId="2">'[1]Marché voiture'!#REF!</definedName>
    <definedName name="NB_INDIV" localSheetId="0">'[1]Marché voiture'!#REF!</definedName>
    <definedName name="NB_INDIV" localSheetId="1">'[1]Marché voiture'!#REF!</definedName>
    <definedName name="NB_INDIV" localSheetId="3">'[1]Marché voiture'!#REF!</definedName>
    <definedName name="NB_INDIV">'[1]Marché voiture'!#REF!</definedName>
    <definedName name="nb_quest" localSheetId="1">[17]B11!$E$12</definedName>
    <definedName name="nb_quest">[18]B11!$E$12</definedName>
    <definedName name="NB_SOC" localSheetId="2">'[1]Marché voiture'!#REF!</definedName>
    <definedName name="NB_SOC" localSheetId="0">'[1]Marché voiture'!#REF!</definedName>
    <definedName name="NB_SOC" localSheetId="1">'[1]Marché voiture'!#REF!</definedName>
    <definedName name="NB_SOC" localSheetId="3">'[1]Marché voiture'!#REF!</definedName>
    <definedName name="NB_SOC">'[1]Marché voiture'!#REF!</definedName>
    <definedName name="nb_soci" localSheetId="2">'[1]Marché voiture'!#REF!</definedName>
    <definedName name="nb_soci" localSheetId="0">'[1]Marché voiture'!#REF!</definedName>
    <definedName name="nb_soci" localSheetId="1">'[1]Marché voiture'!#REF!</definedName>
    <definedName name="nb_soci" localSheetId="3">'[1]Marché voiture'!#REF!</definedName>
    <definedName name="nb_soci">'[1]Marché voiture'!#REF!</definedName>
    <definedName name="nb_societ" localSheetId="2">'[1]Marché voiture'!#REF!</definedName>
    <definedName name="nb_societ" localSheetId="0">'[1]Marché voiture'!#REF!</definedName>
    <definedName name="nb_societ" localSheetId="1">'[1]Marché voiture'!#REF!</definedName>
    <definedName name="nb_societ" localSheetId="3">'[1]Marché voiture'!#REF!</definedName>
    <definedName name="nb_societ">'[1]Marché voiture'!#REF!</definedName>
    <definedName name="Nc">NA()</definedName>
    <definedName name="nc1nc">NA()</definedName>
    <definedName name="nc1vl">NA()</definedName>
    <definedName name="nc24nc">NA()</definedName>
    <definedName name="nc24vl">NA()</definedName>
    <definedName name="nccc2">NA()</definedName>
    <definedName name="ncdd">NA()</definedName>
    <definedName name="NCDD2">NA()</definedName>
    <definedName name="NCHC">NA()</definedName>
    <definedName name="nctr">NA()</definedName>
    <definedName name="nd">NA()</definedName>
    <definedName name="ÑDBH">NA()</definedName>
    <definedName name="NDIA">NA()</definedName>
    <definedName name="Net1H">[13]interpolh!$B$9</definedName>
    <definedName name="Net2H">[13]interpolh!$B$10</definedName>
    <definedName name="NetNet1" localSheetId="2">#REF!</definedName>
    <definedName name="NetNet1" localSheetId="0">#REF!</definedName>
    <definedName name="NetNet1" localSheetId="1">#REF!</definedName>
    <definedName name="NetNet1" localSheetId="3">#REF!</definedName>
    <definedName name="NetNet1">#REF!</definedName>
    <definedName name="NetNet1H">[13]interpolh!$B$11</definedName>
    <definedName name="NetNet2" localSheetId="2">#REF!</definedName>
    <definedName name="NetNet2" localSheetId="0">#REF!</definedName>
    <definedName name="NetNet2" localSheetId="1">#REF!</definedName>
    <definedName name="NetNet2" localSheetId="3">#REF!</definedName>
    <definedName name="NetNet2">#REF!</definedName>
    <definedName name="NetNet2H">[13]interpolh!$B$12</definedName>
    <definedName name="New_Code" localSheetId="2">#REF!</definedName>
    <definedName name="New_Code" localSheetId="0">#REF!</definedName>
    <definedName name="New_Code" localSheetId="1">#REF!</definedName>
    <definedName name="New_Code" localSheetId="3">#REF!</definedName>
    <definedName name="New_Code">#REF!</definedName>
    <definedName name="new_factories" localSheetId="0">#REF!</definedName>
    <definedName name="new_factories">#REF!</definedName>
    <definedName name="NGANHANG">NA()</definedName>
    <definedName name="NGAY">NA()</definedName>
    <definedName name="nghi_bq">NA()</definedName>
    <definedName name="nghi_bv">NA()</definedName>
    <definedName name="nghi_ck">NA()</definedName>
    <definedName name="nghi_d1">NA()</definedName>
    <definedName name="nghi_d2">NA()</definedName>
    <definedName name="nghi_d3">NA()</definedName>
    <definedName name="nghi_dl">NA()</definedName>
    <definedName name="nghi_kcs">NA()</definedName>
    <definedName name="nghi_nb">NA()</definedName>
    <definedName name="nghi_ngio">NA()</definedName>
    <definedName name="nghi_nv">NA()</definedName>
    <definedName name="nghi_t3">NA()</definedName>
    <definedName name="nghi_t4">NA()</definedName>
    <definedName name="nghi_t5">NA()</definedName>
    <definedName name="nghi_t6">NA()</definedName>
    <definedName name="nghi_tc">NA()</definedName>
    <definedName name="nghi_tm">NA()</definedName>
    <definedName name="nghi_vs">NA()</definedName>
    <definedName name="nghi_xh">NA()</definedName>
    <definedName name="nhansut0405">NA()</definedName>
    <definedName name="nhnnc">NA()</definedName>
    <definedName name="nhnvl">NA()</definedName>
    <definedName name="NIG13p">NA()</definedName>
    <definedName name="nightnc">NA()</definedName>
    <definedName name="nightvl">NA()</definedName>
    <definedName name="nignc3p">NA()</definedName>
    <definedName name="nigvl3p">NA()</definedName>
    <definedName name="nin190nc">NA()</definedName>
    <definedName name="nin190vl">NA()</definedName>
    <definedName name="nin1pnc">NA()</definedName>
    <definedName name="nin1pvl">NA()</definedName>
    <definedName name="nindnc">NA()</definedName>
    <definedName name="nindvl">NA()</definedName>
    <definedName name="ninnc">NA()</definedName>
    <definedName name="ninvl">NA()</definedName>
    <definedName name="NL12nc">NA()</definedName>
    <definedName name="NL12vl">NA()</definedName>
    <definedName name="nlht">NA()</definedName>
    <definedName name="nlmtc">NA()</definedName>
    <definedName name="nlnc">NA()</definedName>
    <definedName name="nlvl">NA()</definedName>
    <definedName name="nlvl1">NA()</definedName>
    <definedName name="nnnc">NA()</definedName>
    <definedName name="nnvl">NA()</definedName>
    <definedName name="NOIDUNG">NA()</definedName>
    <definedName name="NToS" localSheetId="1">'LABOR COST '!NToS</definedName>
    <definedName name="NToS">NToS</definedName>
    <definedName name="nuoc">NA()</definedName>
    <definedName name="Nuoclanh">NA()</definedName>
    <definedName name="nuocngung">NA()</definedName>
    <definedName name="nx">NA()</definedName>
    <definedName name="nxmtc">NA()</definedName>
    <definedName name="oc">NA()</definedName>
    <definedName name="OE">NA()</definedName>
    <definedName name="oooo" localSheetId="1" hidden="1">{#N/A,#N/A,FALSE,"Sheet1";#N/A,#N/A,FALSE,"Key data stat 1";#N/A,#N/A,FALSE,"Key Data 2";#N/A,#N/A,FALSE,"Key Data Graph 3"}</definedName>
    <definedName name="oooo" hidden="1">{#N/A,#N/A,FALSE,"Sheet1";#N/A,#N/A,FALSE,"Key data stat 1";#N/A,#N/A,FALSE,"Key Data 2";#N/A,#N/A,FALSE,"Key Data Graph 3"}</definedName>
    <definedName name="OrderTable" localSheetId="0" hidden="1">#REF!</definedName>
    <definedName name="OrderTable" localSheetId="1" hidden="1">#REF!</definedName>
    <definedName name="OrderTable" hidden="1">#REF!</definedName>
    <definedName name="Ordre" localSheetId="2">#REF!</definedName>
    <definedName name="Ordre" localSheetId="0">#REF!</definedName>
    <definedName name="Ordre" localSheetId="1">#REF!</definedName>
    <definedName name="Ordre" localSheetId="3">#REF!</definedName>
    <definedName name="Ordre">#REF!</definedName>
    <definedName name="osc">NA()</definedName>
    <definedName name="OTHER_PANEL">NA()</definedName>
    <definedName name="Others"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Others"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oto">NA()</definedName>
    <definedName name="Óu75">NA()</definedName>
    <definedName name="P">NA()</definedName>
    <definedName name="P_M">NA()</definedName>
    <definedName name="PackMat">[19]PM!$A$2:$F$101</definedName>
    <definedName name="parpousb" localSheetId="2">'[1]Marché voiture'!#REF!</definedName>
    <definedName name="parpousb" localSheetId="0">'[1]Marché voiture'!#REF!</definedName>
    <definedName name="parpousb" localSheetId="1">'[1]Marché voiture'!#REF!</definedName>
    <definedName name="parpousb" localSheetId="3">'[1]Marché voiture'!#REF!</definedName>
    <definedName name="parpousb">'[1]Marché voiture'!#REF!</definedName>
    <definedName name="partpouref" localSheetId="2">'[1]Marché voiture'!#REF!</definedName>
    <definedName name="partpouref" localSheetId="0">'[1]Marché voiture'!#REF!</definedName>
    <definedName name="partpouref" localSheetId="1">'[1]Marché voiture'!#REF!</definedName>
    <definedName name="partpouref" localSheetId="3">'[1]Marché voiture'!#REF!</definedName>
    <definedName name="partpouref">'[1]Marché voiture'!#REF!</definedName>
    <definedName name="PARTPOUREFF" localSheetId="2">'[1]Marché voiture'!#REF!</definedName>
    <definedName name="PARTPOUREFF" localSheetId="0">'[1]Marché voiture'!#REF!</definedName>
    <definedName name="PARTPOUREFF" localSheetId="1">'[1]Marché voiture'!#REF!</definedName>
    <definedName name="PARTPOUREFF" localSheetId="3">'[1]Marché voiture'!#REF!</definedName>
    <definedName name="PARTPOUREFF">'[1]Marché voiture'!#REF!</definedName>
    <definedName name="partpourefff" localSheetId="2">'[1]Marché voiture'!#REF!</definedName>
    <definedName name="partpourefff" localSheetId="0">'[1]Marché voiture'!#REF!</definedName>
    <definedName name="partpourefff" localSheetId="1">'[1]Marché voiture'!#REF!</definedName>
    <definedName name="partpourefff" localSheetId="3">'[1]Marché voiture'!#REF!</definedName>
    <definedName name="partpourefff">'[1]Marché voiture'!#REF!</definedName>
    <definedName name="PARTPOURSB" localSheetId="2">'[1]Marché voiture'!#REF!</definedName>
    <definedName name="PARTPOURSB" localSheetId="0">'[1]Marché voiture'!#REF!</definedName>
    <definedName name="PARTPOURSB" localSheetId="1">'[1]Marché voiture'!#REF!</definedName>
    <definedName name="PARTPOURSB" localSheetId="3">'[1]Marché voiture'!#REF!</definedName>
    <definedName name="PARTPOURSB">'[1]Marché voiture'!#REF!</definedName>
    <definedName name="partpousb" localSheetId="2">'[1]Marché voiture'!#REF!</definedName>
    <definedName name="partpousb" localSheetId="0">'[1]Marché voiture'!#REF!</definedName>
    <definedName name="partpousb" localSheetId="1">'[1]Marché voiture'!#REF!</definedName>
    <definedName name="partpousb" localSheetId="3">'[1]Marché voiture'!#REF!</definedName>
    <definedName name="partpousb">'[1]Marché voiture'!#REF!</definedName>
    <definedName name="parvpourcsb" localSheetId="2">'[1]Marché voiture'!#REF!</definedName>
    <definedName name="parvpourcsb" localSheetId="0">'[1]Marché voiture'!#REF!</definedName>
    <definedName name="parvpourcsb" localSheetId="1">'[1]Marché voiture'!#REF!</definedName>
    <definedName name="parvpourcsb" localSheetId="3">'[1]Marché voiture'!#REF!</definedName>
    <definedName name="parvpourcsb">'[1]Marché voiture'!#REF!</definedName>
    <definedName name="parvpouref" localSheetId="2">'[1]Marché voiture'!#REF!</definedName>
    <definedName name="parvpouref" localSheetId="0">'[1]Marché voiture'!#REF!</definedName>
    <definedName name="parvpouref" localSheetId="1">'[1]Marché voiture'!#REF!</definedName>
    <definedName name="parvpouref" localSheetId="3">'[1]Marché voiture'!#REF!</definedName>
    <definedName name="parvpouref">'[1]Marché voiture'!#REF!</definedName>
    <definedName name="PARVPOUREFF" localSheetId="2">'[1]Marché voiture'!#REF!</definedName>
    <definedName name="PARVPOUREFF" localSheetId="0">'[1]Marché voiture'!#REF!</definedName>
    <definedName name="PARVPOUREFF" localSheetId="1">'[1]Marché voiture'!#REF!</definedName>
    <definedName name="PARVPOUREFF" localSheetId="3">'[1]Marché voiture'!#REF!</definedName>
    <definedName name="PARVPOUREFF">'[1]Marché voiture'!#REF!</definedName>
    <definedName name="parvpourefff" localSheetId="2">'[1]Marché voiture'!#REF!</definedName>
    <definedName name="parvpourefff" localSheetId="0">'[1]Marché voiture'!#REF!</definedName>
    <definedName name="parvpourefff" localSheetId="1">'[1]Marché voiture'!#REF!</definedName>
    <definedName name="parvpourefff" localSheetId="3">'[1]Marché voiture'!#REF!</definedName>
    <definedName name="parvpourefff">'[1]Marché voiture'!#REF!</definedName>
    <definedName name="PARVPOURSB" localSheetId="2">'[1]Marché voiture'!#REF!</definedName>
    <definedName name="PARVPOURSB" localSheetId="0">'[1]Marché voiture'!#REF!</definedName>
    <definedName name="PARVPOURSB" localSheetId="1">'[1]Marché voiture'!#REF!</definedName>
    <definedName name="PARVPOURSB" localSheetId="3">'[1]Marché voiture'!#REF!</definedName>
    <definedName name="PARVPOURSB">'[1]Marché voiture'!#REF!</definedName>
    <definedName name="parvpousb" localSheetId="2">'[1]Marché voiture'!#REF!</definedName>
    <definedName name="parvpousb" localSheetId="0">'[1]Marché voiture'!#REF!</definedName>
    <definedName name="parvpousb" localSheetId="1">'[1]Marché voiture'!#REF!</definedName>
    <definedName name="parvpousb" localSheetId="3">'[1]Marché voiture'!#REF!</definedName>
    <definedName name="parvpousb">'[1]Marché voiture'!#REF!</definedName>
    <definedName name="PC_LB">[19]PC_LB!$A$2:$E$12</definedName>
    <definedName name="PEJM">NA()</definedName>
    <definedName name="PF">NA()</definedName>
    <definedName name="PG_LB">[19]PG_LB!$A$1:$E$43</definedName>
    <definedName name="Pham_Thanh_Phong">NA()</definedName>
    <definedName name="phugia">NA()</definedName>
    <definedName name="PL_指示燈___P.B.___REST_P.B._壓扣開關">NA()</definedName>
    <definedName name="Plafond_Sécu" localSheetId="2">#REF!</definedName>
    <definedName name="Plafond_Sécu" localSheetId="0">#REF!</definedName>
    <definedName name="Plafond_Sécu" localSheetId="1">#REF!</definedName>
    <definedName name="Plafond_Sécu" localSheetId="3">#REF!</definedName>
    <definedName name="Plafond_Sécu">#REF!</definedName>
    <definedName name="Plafond1" localSheetId="2">#REF!</definedName>
    <definedName name="Plafond1" localSheetId="0">#REF!</definedName>
    <definedName name="Plafond1" localSheetId="1">#REF!</definedName>
    <definedName name="Plafond1" localSheetId="3">#REF!</definedName>
    <definedName name="Plafond1">#REF!</definedName>
    <definedName name="Plafond2" localSheetId="2">#REF!</definedName>
    <definedName name="Plafond2" localSheetId="0">#REF!</definedName>
    <definedName name="Plafond2" localSheetId="1">#REF!</definedName>
    <definedName name="Plafond2" localSheetId="3">#REF!</definedName>
    <definedName name="Plafond2">#REF!</definedName>
    <definedName name="Plancher1" localSheetId="2">#REF!</definedName>
    <definedName name="Plancher1" localSheetId="0">#REF!</definedName>
    <definedName name="Plancher1" localSheetId="3">#REF!</definedName>
    <definedName name="Plancher1">#REF!</definedName>
    <definedName name="PM">NA()</definedName>
    <definedName name="point" localSheetId="2">[1]Position_relative!#REF!</definedName>
    <definedName name="point" localSheetId="0">[1]Position_relative!#REF!</definedName>
    <definedName name="point" localSheetId="1">[1]Position_relative!#REF!</definedName>
    <definedName name="point" localSheetId="3">[1]Position_relative!#REF!</definedName>
    <definedName name="point">[1]Position_relative!#REF!</definedName>
    <definedName name="point_max" localSheetId="2">'[1]Marché voiture'!#REF!</definedName>
    <definedName name="point_max" localSheetId="0">'[1]Marché voiture'!#REF!</definedName>
    <definedName name="point_max" localSheetId="1">'[1]Marché voiture'!#REF!</definedName>
    <definedName name="point_max" localSheetId="3">'[1]Marché voiture'!#REF!</definedName>
    <definedName name="point_max">'[1]Marché voiture'!#REF!</definedName>
    <definedName name="point_min" localSheetId="2">'[1]Marché voiture'!#REF!</definedName>
    <definedName name="point_min" localSheetId="0">'[1]Marché voiture'!#REF!</definedName>
    <definedName name="point_min" localSheetId="1">'[1]Marché voiture'!#REF!</definedName>
    <definedName name="point_min" localSheetId="3">'[1]Marché voiture'!#REF!</definedName>
    <definedName name="point_min">'[1]Marché voiture'!#REF!</definedName>
    <definedName name="pointage">[6]Tables!$B$3:$D$19</definedName>
    <definedName name="pointage_SO">[6]Tables!$B$3:$G$19</definedName>
    <definedName name="points" localSheetId="2">[1]Position_relative!#REF!</definedName>
    <definedName name="points" localSheetId="0">[1]Position_relative!#REF!</definedName>
    <definedName name="points" localSheetId="1">[1]Position_relative!#REF!</definedName>
    <definedName name="points" localSheetId="3">[1]Position_relative!#REF!</definedName>
    <definedName name="points">[1]Position_relative!#REF!</definedName>
    <definedName name="points_Hay" localSheetId="2">[1]Position_relative!#REF!</definedName>
    <definedName name="points_Hay" localSheetId="0">[1]Position_relative!#REF!</definedName>
    <definedName name="points_Hay" localSheetId="1">[1]Position_relative!#REF!</definedName>
    <definedName name="points_Hay" localSheetId="3">[1]Position_relative!#REF!</definedName>
    <definedName name="points_Hay">[1]Position_relative!#REF!</definedName>
    <definedName name="poppy1">NA()</definedName>
    <definedName name="POSITION" localSheetId="2">#REF!</definedName>
    <definedName name="POSITION" localSheetId="0">#REF!</definedName>
    <definedName name="POSITION" localSheetId="1">#REF!</definedName>
    <definedName name="POSITION" localSheetId="3">#REF!</definedName>
    <definedName name="POSITION">#REF!</definedName>
    <definedName name="Pour_tiret" localSheetId="2">'[20]Filières France'!$F$5:$H$14,'[20]Filières France'!$K$5:$O$14,'[20]Filières France'!#REF!,'[20]Filières France'!#REF!,'[20]Filières France'!#REF!,'[20]Filières France'!#REF!,'[20]Filières France'!#REF!</definedName>
    <definedName name="Pour_tiret" localSheetId="0">'[20]Filières France'!$F$5:$H$14,'[20]Filières France'!$K$5:$O$14,'[20]Filières France'!#REF!,'[20]Filières France'!#REF!,'[20]Filières France'!#REF!,'[20]Filières France'!#REF!,'[20]Filières France'!#REF!</definedName>
    <definedName name="Pour_tiret" localSheetId="1">'[20]Filières France'!$F$5:$H$14,'[20]Filières France'!$K$5:$O$14,'[20]Filières France'!#REF!,'[20]Filières France'!#REF!,'[20]Filières France'!#REF!,'[20]Filières France'!#REF!,'[20]Filières France'!#REF!</definedName>
    <definedName name="Pour_tiret" localSheetId="3">'[20]Filières France'!$F$5:$H$14,'[20]Filières France'!$K$5:$O$14,'[20]Filières France'!#REF!,'[20]Filières France'!#REF!,'[20]Filières France'!#REF!,'[20]Filières France'!#REF!,'[20]Filières France'!#REF!</definedName>
    <definedName name="Pour_tiret">'[20]Filières France'!$F$5:$H$14,'[20]Filières France'!$K$5:$O$14,'[20]Filières France'!#REF!,'[20]Filières France'!#REF!,'[20]Filières France'!#REF!,'[20]Filières France'!#REF!,'[20]Filières France'!#REF!</definedName>
    <definedName name="pourcfem" localSheetId="2">'[1]Marché voiture'!#REF!</definedName>
    <definedName name="pourcfem" localSheetId="0">'[1]Marché voiture'!#REF!</definedName>
    <definedName name="pourcfem" localSheetId="1">'[1]Marché voiture'!#REF!</definedName>
    <definedName name="pourcfem" localSheetId="3">'[1]Marché voiture'!#REF!</definedName>
    <definedName name="pourcfem">'[1]Marché voiture'!#REF!</definedName>
    <definedName name="pourchom" localSheetId="2">'[1]Marché voiture'!#REF!</definedName>
    <definedName name="pourchom" localSheetId="0">'[1]Marché voiture'!#REF!</definedName>
    <definedName name="pourchom" localSheetId="1">'[1]Marché voiture'!#REF!</definedName>
    <definedName name="pourchom" localSheetId="3">'[1]Marché voiture'!#REF!</definedName>
    <definedName name="pourchom">'[1]Marché voiture'!#REF!</definedName>
    <definedName name="POURFEM" localSheetId="2">'[1]Marché voiture'!#REF!</definedName>
    <definedName name="POURFEM" localSheetId="0">'[1]Marché voiture'!#REF!</definedName>
    <definedName name="POURFEM" localSheetId="1">'[1]Marché voiture'!#REF!</definedName>
    <definedName name="POURFEM" localSheetId="3">'[1]Marché voiture'!#REF!</definedName>
    <definedName name="POURFEM">'[1]Marché voiture'!#REF!</definedName>
    <definedName name="pourfemm" localSheetId="2">'[1]Marché voiture'!#REF!</definedName>
    <definedName name="pourfemm" localSheetId="0">'[1]Marché voiture'!#REF!</definedName>
    <definedName name="pourfemm" localSheetId="1">'[1]Marché voiture'!#REF!</definedName>
    <definedName name="pourfemm" localSheetId="3">'[1]Marché voiture'!#REF!</definedName>
    <definedName name="pourfemm">'[1]Marché voiture'!#REF!</definedName>
    <definedName name="POURHOM" localSheetId="2">'[1]Marché voiture'!#REF!</definedName>
    <definedName name="POURHOM" localSheetId="0">'[1]Marché voiture'!#REF!</definedName>
    <definedName name="POURHOM" localSheetId="1">'[1]Marché voiture'!#REF!</definedName>
    <definedName name="POURHOM" localSheetId="3">'[1]Marché voiture'!#REF!</definedName>
    <definedName name="POURHOM">'[1]Marché voiture'!#REF!</definedName>
    <definedName name="pourhomm" localSheetId="2">'[1]Marché voiture'!#REF!</definedName>
    <definedName name="pourhomm" localSheetId="0">'[1]Marché voiture'!#REF!</definedName>
    <definedName name="pourhomm" localSheetId="1">'[1]Marché voiture'!#REF!</definedName>
    <definedName name="pourhomm" localSheetId="3">'[1]Marché voiture'!#REF!</definedName>
    <definedName name="pourhomm">'[1]Marché voiture'!#REF!</definedName>
    <definedName name="PowerCord">NA()</definedName>
    <definedName name="primpourcref" localSheetId="2">'[1]Marché voiture'!#REF!</definedName>
    <definedName name="primpourcref" localSheetId="0">'[1]Marché voiture'!#REF!</definedName>
    <definedName name="primpourcref" localSheetId="1">'[1]Marché voiture'!#REF!</definedName>
    <definedName name="primpourcref" localSheetId="3">'[1]Marché voiture'!#REF!</definedName>
    <definedName name="primpourcref">'[1]Marché voiture'!#REF!</definedName>
    <definedName name="primpourcsb" localSheetId="2">'[1]Marché voiture'!#REF!</definedName>
    <definedName name="primpourcsb" localSheetId="0">'[1]Marché voiture'!#REF!</definedName>
    <definedName name="primpourcsb" localSheetId="1">'[1]Marché voiture'!#REF!</definedName>
    <definedName name="primpourcsb" localSheetId="3">'[1]Marché voiture'!#REF!</definedName>
    <definedName name="primpourcsb">'[1]Marché voiture'!#REF!</definedName>
    <definedName name="PRIMPOUREFF" localSheetId="2">'[1]Marché voiture'!#REF!</definedName>
    <definedName name="PRIMPOUREFF" localSheetId="0">'[1]Marché voiture'!#REF!</definedName>
    <definedName name="PRIMPOUREFF" localSheetId="1">'[1]Marché voiture'!#REF!</definedName>
    <definedName name="PRIMPOUREFF" localSheetId="3">'[1]Marché voiture'!#REF!</definedName>
    <definedName name="PRIMPOUREFF">'[1]Marché voiture'!#REF!</definedName>
    <definedName name="primpourf" localSheetId="2">'[1]Marché voiture'!#REF!</definedName>
    <definedName name="primpourf" localSheetId="0">'[1]Marché voiture'!#REF!</definedName>
    <definedName name="primpourf" localSheetId="1">'[1]Marché voiture'!#REF!</definedName>
    <definedName name="primpourf" localSheetId="3">'[1]Marché voiture'!#REF!</definedName>
    <definedName name="primpourf">'[1]Marché voiture'!#REF!</definedName>
    <definedName name="PRIMPOURSB" localSheetId="2">'[1]Marché voiture'!#REF!</definedName>
    <definedName name="PRIMPOURSB" localSheetId="0">'[1]Marché voiture'!#REF!</definedName>
    <definedName name="PRIMPOURSB" localSheetId="1">'[1]Marché voiture'!#REF!</definedName>
    <definedName name="PRIMPOURSB" localSheetId="3">'[1]Marché voiture'!#REF!</definedName>
    <definedName name="PRIMPOURSB">'[1]Marché voiture'!#REF!</definedName>
    <definedName name="primpousb" localSheetId="2">'[1]Marché voiture'!#REF!</definedName>
    <definedName name="primpousb" localSheetId="0">'[1]Marché voiture'!#REF!</definedName>
    <definedName name="primpousb" localSheetId="1">'[1]Marché voiture'!#REF!</definedName>
    <definedName name="primpousb" localSheetId="3">'[1]Marché voiture'!#REF!</definedName>
    <definedName name="primpousb">'[1]Marché voiture'!#REF!</definedName>
    <definedName name="_xlnm.Print_Area" localSheetId="2">#REF!</definedName>
    <definedName name="_xlnm.Print_Area" localSheetId="0">#REF!</definedName>
    <definedName name="_xlnm.Print_Area" localSheetId="1">#REF!</definedName>
    <definedName name="_xlnm.Print_Area" localSheetId="3">'QUY CHE 2026'!$A$1:$E$67</definedName>
    <definedName name="_xlnm.Print_Area">#REF!</definedName>
    <definedName name="Print_Area_MI">NA()</definedName>
    <definedName name="_xlnm.Print_Titles" localSheetId="6">'CHE DO 2020'!$9:$9</definedName>
    <definedName name="_xlnm.Print_Titles" localSheetId="2">'CHE DO 2024'!$12:$12</definedName>
    <definedName name="_xlnm.Print_Titles" localSheetId="0">'CHE DO 2025)'!$13:$13</definedName>
    <definedName name="_xlnm.Print_Titles" localSheetId="3">'QUY CHE 2026'!$14:$14</definedName>
    <definedName name="PrixVoit_TTC" localSheetId="2">#REF!</definedName>
    <definedName name="PrixVoit_TTC" localSheetId="0">#REF!</definedName>
    <definedName name="PrixVoit_TTC" localSheetId="1">#REF!</definedName>
    <definedName name="PrixVoit_TTC" localSheetId="3">#REF!</definedName>
    <definedName name="PrixVoit_TTC">#REF!</definedName>
    <definedName name="ProdForm" localSheetId="0" hidden="1">#REF!</definedName>
    <definedName name="ProdForm" hidden="1">#REF!</definedName>
    <definedName name="PT_MAX" localSheetId="2">'[1]Marché voiture'!#REF!</definedName>
    <definedName name="PT_MAX" localSheetId="0">'[1]Marché voiture'!#REF!</definedName>
    <definedName name="PT_MAX" localSheetId="1">'[1]Marché voiture'!#REF!</definedName>
    <definedName name="PT_MAX" localSheetId="3">'[1]Marché voiture'!#REF!</definedName>
    <definedName name="PT_MAX">'[1]Marché voiture'!#REF!</definedName>
    <definedName name="pt_maxi" localSheetId="2">'[1]Marché voiture'!#REF!</definedName>
    <definedName name="pt_maxi" localSheetId="0">'[1]Marché voiture'!#REF!</definedName>
    <definedName name="pt_maxi" localSheetId="1">'[1]Marché voiture'!#REF!</definedName>
    <definedName name="pt_maxi" localSheetId="3">'[1]Marché voiture'!#REF!</definedName>
    <definedName name="pt_maxi">'[1]Marché voiture'!#REF!</definedName>
    <definedName name="PT_MIN" localSheetId="2">'[1]Marché voiture'!#REF!</definedName>
    <definedName name="PT_MIN" localSheetId="0">'[1]Marché voiture'!#REF!</definedName>
    <definedName name="PT_MIN" localSheetId="1">'[1]Marché voiture'!#REF!</definedName>
    <definedName name="PT_MIN" localSheetId="3">'[1]Marché voiture'!#REF!</definedName>
    <definedName name="PT_MIN">'[1]Marché voiture'!#REF!</definedName>
    <definedName name="pt_mini" localSheetId="2">'[1]Marché voiture'!#REF!</definedName>
    <definedName name="pt_mini" localSheetId="0">'[1]Marché voiture'!#REF!</definedName>
    <definedName name="pt_mini" localSheetId="1">'[1]Marché voiture'!#REF!</definedName>
    <definedName name="pt_mini" localSheetId="3">'[1]Marché voiture'!#REF!</definedName>
    <definedName name="pt_mini">'[1]Marché voiture'!#REF!</definedName>
    <definedName name="PTDG_cau">NA()</definedName>
    <definedName name="PTNC">NA()</definedName>
    <definedName name="ptvt">NA()</definedName>
    <definedName name="Q">NA()</definedName>
    <definedName name="qöeqwr">NA()</definedName>
    <definedName name="quehan">NA()</definedName>
    <definedName name="QUYLUONG">NA()</definedName>
    <definedName name="qzqzqz10">NA()</definedName>
    <definedName name="qzqzqz14">NA()</definedName>
    <definedName name="qzqzqz15">NA()</definedName>
    <definedName name="qzqzqz16">NA()</definedName>
    <definedName name="qzqzqz17">NA()</definedName>
    <definedName name="qzqzqz18">NA()</definedName>
    <definedName name="qzqzqz19">NA()</definedName>
    <definedName name="qzqzqz20">NA()</definedName>
    <definedName name="qzqzqz21">NA()</definedName>
    <definedName name="qzqzqz22">NA()</definedName>
    <definedName name="qzqzqz23">NA()</definedName>
    <definedName name="qzqzqz24">NA()</definedName>
    <definedName name="qzqzqz25">NA()</definedName>
    <definedName name="qzqzqz26">NA()</definedName>
    <definedName name="qzqzqz27">NA()</definedName>
    <definedName name="qzqzqz28">NA()</definedName>
    <definedName name="qzqzqz29">NA()</definedName>
    <definedName name="qzqzqz31">NA()</definedName>
    <definedName name="qzqzqz32">NA()</definedName>
    <definedName name="rack1">NA()</definedName>
    <definedName name="rack2">NA()</definedName>
    <definedName name="rack3">NA()</definedName>
    <definedName name="rack4">NA()</definedName>
    <definedName name="RawMat">[19]RM!$A$2:$D$65</definedName>
    <definedName name="rBeverage">[2]Reference!$M$3</definedName>
    <definedName name="RCArea" localSheetId="0" hidden="1">#REF!</definedName>
    <definedName name="RCArea" localSheetId="1" hidden="1">#REF!</definedName>
    <definedName name="RCArea" hidden="1">#REF!</definedName>
    <definedName name="rCountry">[2]Reference!$E$3</definedName>
    <definedName name="_xlnm.Recorder" localSheetId="2">'[21]Affecte noms ds nuages pts'!#REF!</definedName>
    <definedName name="_xlnm.Recorder" localSheetId="0">'[21]Affecte noms ds nuages pts'!#REF!</definedName>
    <definedName name="_xlnm.Recorder" localSheetId="1">'[21]Affecte noms ds nuages pts'!#REF!</definedName>
    <definedName name="_xlnm.Recorder" localSheetId="3">'[21]Affecte noms ds nuages pts'!#REF!</definedName>
    <definedName name="_xlnm.Recorder">'[21]Affecte noms ds nuages pts'!#REF!</definedName>
    <definedName name="ref_market">[6]Tables!$A$3:$B$19</definedName>
    <definedName name="Rendement_placement" localSheetId="2">#REF!</definedName>
    <definedName name="Rendement_placement" localSheetId="0">#REF!</definedName>
    <definedName name="Rendement_placement" localSheetId="1">#REF!</definedName>
    <definedName name="Rendement_placement" localSheetId="3">#REF!</definedName>
    <definedName name="Rendement_placement">#REF!</definedName>
    <definedName name="Rente_SFC" localSheetId="2">#REF!</definedName>
    <definedName name="Rente_SFC" localSheetId="0">#REF!</definedName>
    <definedName name="Rente_SFC" localSheetId="1">#REF!</definedName>
    <definedName name="Rente_SFC" localSheetId="3">#REF!</definedName>
    <definedName name="Rente_SFC">#REF!</definedName>
    <definedName name="rEntityInput">[2]Reference!$H$3</definedName>
    <definedName name="rEntityLocal">[2]Reference!$G$3</definedName>
    <definedName name="rFcst">[2]Reference!$P$3</definedName>
    <definedName name="rPlan1">[2]Reference!$R$3</definedName>
    <definedName name="rPlan2">[2]Reference!$S$3</definedName>
    <definedName name="rPlan3">[2]Reference!$T$3</definedName>
    <definedName name="rRegion">[2]Reference!$B$3</definedName>
    <definedName name="rSubmission">[2]Reference!$O$3</definedName>
    <definedName name="RT">NA()</definedName>
    <definedName name="rtûtuy">NA()</definedName>
    <definedName name="rung25">NA()</definedName>
    <definedName name="rYear">[2]Reference!$K$3</definedName>
    <definedName name="s_0">NA()</definedName>
    <definedName name="s_1">NA()</definedName>
    <definedName name="s75F29">NA()</definedName>
    <definedName name="Salaire_net" localSheetId="2">#REF!</definedName>
    <definedName name="Salaire_net" localSheetId="0">#REF!</definedName>
    <definedName name="Salaire_net" localSheetId="1">#REF!</definedName>
    <definedName name="Salaire_net" localSheetId="3">#REF!</definedName>
    <definedName name="Salaire_net">#REF!</definedName>
    <definedName name="Salaire_net_net" localSheetId="2">#REF!</definedName>
    <definedName name="Salaire_net_net" localSheetId="0">#REF!</definedName>
    <definedName name="Salaire_net_net" localSheetId="1">#REF!</definedName>
    <definedName name="Salaire_net_net" localSheetId="3">#REF!</definedName>
    <definedName name="Salaire_net_net">#REF!</definedName>
    <definedName name="SAPBEXdnldView" hidden="1">"4N3UD8KHUYZMD03PHQX1GIT44"</definedName>
    <definedName name="SAPBEXrevision" hidden="1">1</definedName>
    <definedName name="SAPBEXsysID" hidden="1">"OB8"</definedName>
    <definedName name="SAPBEXwbID" hidden="1">"3K4ZA5YT36VBBANEX64ZIJA5J"</definedName>
    <definedName name="sat">NA()</definedName>
    <definedName name="satu">NA()</definedName>
    <definedName name="sau">NA()</definedName>
    <definedName name="SB">NA()</definedName>
    <definedName name="SBN">NA()</definedName>
    <definedName name="sc">NA()</definedName>
    <definedName name="scm">NA()</definedName>
    <definedName name="scr">NA()</definedName>
    <definedName name="sd3p">NA()</definedName>
    <definedName name="SDDL">NA()</definedName>
    <definedName name="sdfs">NA()</definedName>
    <definedName name="sdo">NA()</definedName>
    <definedName name="SFC" localSheetId="2">#REF!</definedName>
    <definedName name="SFC" localSheetId="0">#REF!</definedName>
    <definedName name="SFC" localSheetId="1">#REF!</definedName>
    <definedName name="SFC" localSheetId="3">#REF!</definedName>
    <definedName name="SFC">#REF!</definedName>
    <definedName name="sgnc">NA()</definedName>
    <definedName name="sgvl">NA()</definedName>
    <definedName name="sht">NA()</definedName>
    <definedName name="sht3p">NA()</definedName>
    <definedName name="skd">NA()</definedName>
    <definedName name="SKU">[19]SKU!$A$4:$S$76</definedName>
    <definedName name="SLNTK">NA()</definedName>
    <definedName name="SLTCK">NA()</definedName>
    <definedName name="SLTDK">NA()</definedName>
    <definedName name="SLXTK">NA()</definedName>
    <definedName name="SNAT0405">NA()</definedName>
    <definedName name="SO">NA()</definedName>
    <definedName name="Soi_HamYen">NA()</definedName>
    <definedName name="Solan">NA()</definedName>
    <definedName name="Sonth">NA()</definedName>
    <definedName name="SORT_AREA">NA()</definedName>
    <definedName name="SOTIEN">NA()</definedName>
    <definedName name="SOTIEN_NK_TB">NA()</definedName>
    <definedName name="SP">NA()</definedName>
    <definedName name="sp_bq">NA()</definedName>
    <definedName name="sp_bv">NA()</definedName>
    <definedName name="sp_ck">NA()</definedName>
    <definedName name="sp_d1">NA()</definedName>
    <definedName name="sp_d2">NA()</definedName>
    <definedName name="sp_d3">NA()</definedName>
    <definedName name="sp_dl">NA()</definedName>
    <definedName name="sp_kcs">NA()</definedName>
    <definedName name="sp_nb">NA()</definedName>
    <definedName name="sp_ngio">NA()</definedName>
    <definedName name="sp_nv">NA()</definedName>
    <definedName name="sp_t3">NA()</definedName>
    <definedName name="sp_t4">NA()</definedName>
    <definedName name="sp_t5">NA()</definedName>
    <definedName name="sp_t6">NA()</definedName>
    <definedName name="sp_tc">NA()</definedName>
    <definedName name="sp_tm">NA()</definedName>
    <definedName name="sp_vs">NA()</definedName>
    <definedName name="sp_xh">NA()</definedName>
    <definedName name="SpecialPrice" localSheetId="0" hidden="1">#REF!</definedName>
    <definedName name="SpecialPrice" localSheetId="1" hidden="1">#REF!</definedName>
    <definedName name="SpecialPrice" hidden="1">#REF!</definedName>
    <definedName name="spk1p">NA()</definedName>
    <definedName name="spk3p">NA()</definedName>
    <definedName name="ssss" localSheetId="1" hidden="1">{#N/A,#N/A,FALSE,"Sheet1";#N/A,#N/A,FALSE,"Key data stat 1";#N/A,#N/A,FALSE,"Key Data 2";#N/A,#N/A,FALSE,"Key Data Graph 3"}</definedName>
    <definedName name="ssss" hidden="1">{#N/A,#N/A,FALSE,"Sheet1";#N/A,#N/A,FALSE,"Key data stat 1";#N/A,#N/A,FALSE,"Key Data 2";#N/A,#N/A,FALSE,"Key Data Graph 3"}</definedName>
    <definedName name="ST_TH2_131">3</definedName>
    <definedName name="st3p">NA()</definedName>
    <definedName name="STIEN">NA()</definedName>
    <definedName name="str">NA()</definedName>
    <definedName name="Symboles">[6]Tables!$A$21:$B$25</definedName>
    <definedName name="Symboles_SO">[6]Tables!$A$27:$B$29</definedName>
    <definedName name="t">NA()</definedName>
    <definedName name="t_1">NA()</definedName>
    <definedName name="t105mnc">NA()</definedName>
    <definedName name="t10m">NA()</definedName>
    <definedName name="t10nc">NA()</definedName>
    <definedName name="t10ncm">NA()</definedName>
    <definedName name="t10vl">NA()</definedName>
    <definedName name="t12m">NA()</definedName>
    <definedName name="t12mnc">NA()</definedName>
    <definedName name="t12nc">NA()</definedName>
    <definedName name="t12nc3p">NA()</definedName>
    <definedName name="t12ncm">NA()</definedName>
    <definedName name="t12vl">NA()</definedName>
    <definedName name="t12vl3p">NA()</definedName>
    <definedName name="t14m">NA()</definedName>
    <definedName name="t14mnc">NA()</definedName>
    <definedName name="t14nc">NA()</definedName>
    <definedName name="t14ncm">NA()</definedName>
    <definedName name="T14vc">NA()</definedName>
    <definedName name="t14vl">NA()</definedName>
    <definedName name="T203P">NA()</definedName>
    <definedName name="t20m">NA()</definedName>
    <definedName name="t20ncm">NA()</definedName>
    <definedName name="t7m">NA()</definedName>
    <definedName name="t7nc">NA()</definedName>
    <definedName name="t7vl">NA()</definedName>
    <definedName name="t84mnc">NA()</definedName>
    <definedName name="t8m">NA()</definedName>
    <definedName name="t8nc">NA()</definedName>
    <definedName name="t8vl">NA()</definedName>
    <definedName name="Table_entrée_H">[13]interpolh!$D$3</definedName>
    <definedName name="table_impot_1" localSheetId="2">#REF!</definedName>
    <definedName name="table_impot_1" localSheetId="0">#REF!</definedName>
    <definedName name="table_impot_1" localSheetId="1">#REF!</definedName>
    <definedName name="table_impot_1" localSheetId="3">#REF!</definedName>
    <definedName name="table_impot_1">#REF!</definedName>
    <definedName name="Table_sortie_H">[13]interpolh!$D$4</definedName>
    <definedName name="Taikhoan">NA()</definedName>
    <definedName name="TaxTV">10%</definedName>
    <definedName name="TaxXL">5%</definedName>
    <definedName name="tb">NA()</definedName>
    <definedName name="tbdd1p">NA()</definedName>
    <definedName name="tbdd3p">NA()</definedName>
    <definedName name="tbddsdl">NA()</definedName>
    <definedName name="TBI">NA()</definedName>
    <definedName name="tbl_ProdInfo" localSheetId="0" hidden="1">#REF!</definedName>
    <definedName name="tbl_ProdInfo" localSheetId="1" hidden="1">#REF!</definedName>
    <definedName name="tbl_ProdInfo" hidden="1">#REF!</definedName>
    <definedName name="tblBeverageVolumeAccounts">'[2]Beverage Volume'!$C$9:$D$108</definedName>
    <definedName name="tbtr">NA()</definedName>
    <definedName name="tcxxnc">NA()</definedName>
    <definedName name="td">NA()</definedName>
    <definedName name="td10vl">NA()</definedName>
    <definedName name="td12nc">NA()</definedName>
    <definedName name="td1cnc">NA()</definedName>
    <definedName name="td1cvl">NA()</definedName>
    <definedName name="TD1pnc">NA()</definedName>
    <definedName name="TD1pvl">NA()</definedName>
    <definedName name="tdc84nc">NA()</definedName>
    <definedName name="tdcnc">NA()</definedName>
    <definedName name="tdgnc">NA()</definedName>
    <definedName name="tdgvl">NA()</definedName>
    <definedName name="tdhtnc">NA()</definedName>
    <definedName name="tdhtvl">NA()</definedName>
    <definedName name="tdnc">NA()</definedName>
    <definedName name="tdnc3p">NA()</definedName>
    <definedName name="tdt1pnc">NA()</definedName>
    <definedName name="tdt1pvl">NA()</definedName>
    <definedName name="tdt2cnc">NA()</definedName>
    <definedName name="tdt2cvl">NA()</definedName>
    <definedName name="tdtrnc">NA()</definedName>
    <definedName name="tdtrvl">NA()</definedName>
    <definedName name="tdvl">NA()</definedName>
    <definedName name="tdvl3p">NA()</definedName>
    <definedName name="TEL" localSheetId="2">#REF!</definedName>
    <definedName name="TEL" localSheetId="0">#REF!</definedName>
    <definedName name="TEL" localSheetId="1">#REF!</definedName>
    <definedName name="TEL" localSheetId="3">#REF!</definedName>
    <definedName name="TEL">#REF!</definedName>
    <definedName name="TenBanh">NA()</definedName>
    <definedName name="TenBanhBanTP">NA()</definedName>
    <definedName name="TenBanhTP">NA()</definedName>
    <definedName name="TenDMBB">NA()</definedName>
    <definedName name="TenDMNVL">NA()</definedName>
    <definedName name="Tenkeo">NA()</definedName>
    <definedName name="TenThung">NA()</definedName>
    <definedName name="TEST1" localSheetId="0">#REF!</definedName>
    <definedName name="TEST1" localSheetId="1">#REF!</definedName>
    <definedName name="TEST1">#REF!</definedName>
    <definedName name="TEST10" localSheetId="0">#REF!</definedName>
    <definedName name="TEST10" localSheetId="1">#REF!</definedName>
    <definedName name="TEST10">#REF!</definedName>
    <definedName name="TEST11" localSheetId="0">#REF!</definedName>
    <definedName name="TEST11" localSheetId="1">#REF!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15" localSheetId="0">#REF!</definedName>
    <definedName name="TEST15">#REF!</definedName>
    <definedName name="TEST16" localSheetId="0">#REF!</definedName>
    <definedName name="TEST16">#REF!</definedName>
    <definedName name="TEST17" localSheetId="0">#REF!</definedName>
    <definedName name="TEST17">#REF!</definedName>
    <definedName name="TEST18" localSheetId="0">#REF!</definedName>
    <definedName name="TEST18">#REF!</definedName>
    <definedName name="TEST19" localSheetId="0">#REF!</definedName>
    <definedName name="TEST19">#REF!</definedName>
    <definedName name="TEST2" localSheetId="0">#REF!</definedName>
    <definedName name="TEST2">#REF!</definedName>
    <definedName name="TEST20" localSheetId="0">#REF!</definedName>
    <definedName name="TEST20">#REF!</definedName>
    <definedName name="TEST21" localSheetId="0">#REF!</definedName>
    <definedName name="TEST21">#REF!</definedName>
    <definedName name="TEST22" localSheetId="0">#REF!</definedName>
    <definedName name="TEST22">#REF!</definedName>
    <definedName name="TEST23" localSheetId="0">#REF!</definedName>
    <definedName name="TEST23">#REF!</definedName>
    <definedName name="TEST24" localSheetId="0">#REF!</definedName>
    <definedName name="TEST24">#REF!</definedName>
    <definedName name="TEST25" localSheetId="0">#REF!</definedName>
    <definedName name="TEST25">#REF!</definedName>
    <definedName name="TEST26" localSheetId="0">#REF!</definedName>
    <definedName name="TEST26">#REF!</definedName>
    <definedName name="TEST27" localSheetId="0">#REF!</definedName>
    <definedName name="TEST27">#REF!</definedName>
    <definedName name="TEST28" localSheetId="0">#REF!</definedName>
    <definedName name="TEST28">#REF!</definedName>
    <definedName name="TEST29" localSheetId="0">#REF!</definedName>
    <definedName name="TEST29">#REF!</definedName>
    <definedName name="TEST3" localSheetId="0">#REF!</definedName>
    <definedName name="TEST3">#REF!</definedName>
    <definedName name="TEST30" localSheetId="0">#REF!</definedName>
    <definedName name="TEST30">#REF!</definedName>
    <definedName name="TEST31" localSheetId="0">#REF!</definedName>
    <definedName name="TEST31">#REF!</definedName>
    <definedName name="TEST32" localSheetId="0">#REF!</definedName>
    <definedName name="TEST32">#REF!</definedName>
    <definedName name="TEST33" localSheetId="0">#REF!</definedName>
    <definedName name="TEST33">#REF!</definedName>
    <definedName name="TEST4" localSheetId="0">#REF!</definedName>
    <definedName name="TEST4">#REF!</definedName>
    <definedName name="TEST5" localSheetId="0">#REF!</definedName>
    <definedName name="TEST5">#REF!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h3x15">NA()</definedName>
    <definedName name="ThanhXuan110">NA()</definedName>
    <definedName name="thepbuoc">NA()</definedName>
    <definedName name="ThepCT3">NA()</definedName>
    <definedName name="thepCT5">NA()</definedName>
    <definedName name="ThepDet32x3">NA()</definedName>
    <definedName name="ThepDet35x3">NA()</definedName>
    <definedName name="ThepDet40x4">NA()</definedName>
    <definedName name="ThepDet45x4">NA()</definedName>
    <definedName name="ThepDet50x5">NA()</definedName>
    <definedName name="ThepDet63x6">NA()</definedName>
    <definedName name="ThepDet75x6">NA()</definedName>
    <definedName name="thepDet75x7">NA()</definedName>
    <definedName name="ThepGoc32x32x3">NA()</definedName>
    <definedName name="ThepGoc35x35x3">NA()</definedName>
    <definedName name="ThepGoc40x40x4">NA()</definedName>
    <definedName name="ThepGoc45x45x4">NA()</definedName>
    <definedName name="ThepGoc50x50x5">NA()</definedName>
    <definedName name="ThepGoc63x63x6">NA()</definedName>
    <definedName name="ThepGoc75x6">NA()</definedName>
    <definedName name="ThepGoc75x75x6">NA()</definedName>
    <definedName name="thephinh">NA()</definedName>
    <definedName name="thepnho">NA()</definedName>
    <definedName name="theptam">NA()</definedName>
    <definedName name="theptb">NA()</definedName>
    <definedName name="ThepTronD10D18">NA()</definedName>
    <definedName name="ThepTronD6D8">NA()</definedName>
    <definedName name="thepU">NA()</definedName>
    <definedName name="thgian_bq">NA()</definedName>
    <definedName name="thgian_bv">NA()</definedName>
    <definedName name="thgian_ck">NA()</definedName>
    <definedName name="thgian_d1">NA()</definedName>
    <definedName name="thgian_d2">NA()</definedName>
    <definedName name="thgian_d3">NA()</definedName>
    <definedName name="thgian_dl">NA()</definedName>
    <definedName name="thgian_kcs">NA()</definedName>
    <definedName name="thgian_nb">NA()</definedName>
    <definedName name="thgian_ngio">NA()</definedName>
    <definedName name="thgian_nv">NA()</definedName>
    <definedName name="thgian_t3">NA()</definedName>
    <definedName name="thgian_t4">NA()</definedName>
    <definedName name="thgian_t5">NA()</definedName>
    <definedName name="thgian_t6">NA()</definedName>
    <definedName name="thgian_tc">NA()</definedName>
    <definedName name="thgian_tm">NA()</definedName>
    <definedName name="thgian_vs">NA()</definedName>
    <definedName name="thgian_xh">NA()</definedName>
    <definedName name="thgio_bq">NA()</definedName>
    <definedName name="thgio_bv">NA()</definedName>
    <definedName name="thgio_ck">NA()</definedName>
    <definedName name="thgio_d1">NA()</definedName>
    <definedName name="thgio_d2">NA()</definedName>
    <definedName name="thgio_d3">NA()</definedName>
    <definedName name="thgio_dl">NA()</definedName>
    <definedName name="thgio_kcs">NA()</definedName>
    <definedName name="thgio_nb">NA()</definedName>
    <definedName name="thgio_ngio">NA()</definedName>
    <definedName name="thgio_nv">NA()</definedName>
    <definedName name="thgio_t3">NA()</definedName>
    <definedName name="thgio_t4">NA()</definedName>
    <definedName name="thgio_t5">NA()</definedName>
    <definedName name="thgio_t6">NA()</definedName>
    <definedName name="thgio_tc">NA()</definedName>
    <definedName name="thgio_tm">NA()</definedName>
    <definedName name="thgio_vs">NA()</definedName>
    <definedName name="thgio_xh">NA()</definedName>
    <definedName name="THK">NA()</definedName>
    <definedName name="THKP160">NA()</definedName>
    <definedName name="thtr15">NA()</definedName>
    <definedName name="thucthanh">NA()</definedName>
    <definedName name="thue">6</definedName>
    <definedName name="thuevat">NA()</definedName>
    <definedName name="Tiepdia">NA()</definedName>
    <definedName name="Tim_cong">NA()</definedName>
    <definedName name="TINHTP">NA()</definedName>
    <definedName name="TitleRef">[5]Title!$B$3</definedName>
    <definedName name="TKCO_NK_TB">NA()</definedName>
    <definedName name="TKNO_NK_TB">NA()</definedName>
    <definedName name="TL">NA()</definedName>
    <definedName name="tn1pinnc">NA()</definedName>
    <definedName name="tn2mhnnc">NA()</definedName>
    <definedName name="TNCM">NA()</definedName>
    <definedName name="tnh_bq">NA()</definedName>
    <definedName name="tnh_bv">NA()</definedName>
    <definedName name="tnh_ck">NA()</definedName>
    <definedName name="tnh_d1">NA()</definedName>
    <definedName name="tnh_d2">NA()</definedName>
    <definedName name="tnh_d3">NA()</definedName>
    <definedName name="tnh_dl">NA()</definedName>
    <definedName name="tnh_kcs">NA()</definedName>
    <definedName name="tnh_nb">NA()</definedName>
    <definedName name="tnh_ngio">NA()</definedName>
    <definedName name="tnh_nv">NA()</definedName>
    <definedName name="tnh_t3">NA()</definedName>
    <definedName name="tnh_t4">NA()</definedName>
    <definedName name="tnh_t5">NA()</definedName>
    <definedName name="tnh_t6">NA()</definedName>
    <definedName name="tnh_tc">NA()</definedName>
    <definedName name="tnh_tm">NA()</definedName>
    <definedName name="tnh_vs">NA()</definedName>
    <definedName name="tnh_xh">NA()</definedName>
    <definedName name="tnhnnc">NA()</definedName>
    <definedName name="tnignc">NA()</definedName>
    <definedName name="tnin190nc">NA()</definedName>
    <definedName name="tnlnc">NA()</definedName>
    <definedName name="tnnnc">NA()</definedName>
    <definedName name="tno">NA()</definedName>
    <definedName name="TNTK">NA()</definedName>
    <definedName name="tokhai" localSheetId="1" hidden="1">{"'Sheet1'!$L$16"}</definedName>
    <definedName name="tokhai" hidden="1">{"'Sheet1'!$L$16"}</definedName>
    <definedName name="TON_CUOI_KY">NA()</definedName>
    <definedName name="TONG">NA()</definedName>
    <definedName name="tongdt">NA()</definedName>
    <definedName name="tonghop">NA()</definedName>
    <definedName name="Total_brut" localSheetId="1">'[22]Taux de charges'!$C$3</definedName>
    <definedName name="Total_brut">'[23]Taux de charges'!$C$3</definedName>
    <definedName name="Total_Tr_A" localSheetId="1">'[22]Taux de charges'!$C$5</definedName>
    <definedName name="Total_Tr_A">'[23]Taux de charges'!$C$5</definedName>
    <definedName name="Total_Tr_B" localSheetId="1">'[22]Taux de charges'!$C$7</definedName>
    <definedName name="Total_Tr_B">'[23]Taux de charges'!$C$7</definedName>
    <definedName name="Total_Tr_C" localSheetId="1">'[22]Taux de charges'!$C$9</definedName>
    <definedName name="Total_Tr_C">'[23]Taux de charges'!$C$9</definedName>
    <definedName name="totb">NA()</definedName>
    <definedName name="totb1">NA()</definedName>
    <definedName name="totb2">NA()</definedName>
    <definedName name="totb3">NA()</definedName>
    <definedName name="totb4">NA()</definedName>
    <definedName name="totb5">NA()</definedName>
    <definedName name="totb6">NA()</definedName>
    <definedName name="TPFR" localSheetId="2">#REF!</definedName>
    <definedName name="TPFR" localSheetId="0">#REF!</definedName>
    <definedName name="TPFR" localSheetId="1">#REF!</definedName>
    <definedName name="TPFR" localSheetId="3">#REF!</definedName>
    <definedName name="TPFR">#REF!</definedName>
    <definedName name="TPGE" localSheetId="2">#REF!</definedName>
    <definedName name="TPGE" localSheetId="0">#REF!</definedName>
    <definedName name="TPGE" localSheetId="1">#REF!</definedName>
    <definedName name="TPGE" localSheetId="3">#REF!</definedName>
    <definedName name="TPGE">#REF!</definedName>
    <definedName name="TPUS" localSheetId="2">#REF!</definedName>
    <definedName name="TPUS" localSheetId="0">#REF!</definedName>
    <definedName name="TPUS" localSheetId="1">#REF!</definedName>
    <definedName name="TPUS" localSheetId="3">#REF!</definedName>
    <definedName name="TPUS">#REF!</definedName>
    <definedName name="TR15HT">NA()</definedName>
    <definedName name="TR16HT">NA()</definedName>
    <definedName name="TR19HT">NA()</definedName>
    <definedName name="tr1x15">NA()</definedName>
    <definedName name="TR20HT">NA()</definedName>
    <definedName name="tr3x100">NA()</definedName>
    <definedName name="Tra_GTXLST">NA()</definedName>
    <definedName name="Tra_phan_tram">NA()</definedName>
    <definedName name="tra_vat_lieu1">NA()</definedName>
    <definedName name="tra_VL_1">NA()</definedName>
    <definedName name="tram100">NA()</definedName>
    <definedName name="tram1x25">NA()</definedName>
    <definedName name="TRANSFORMER">NA()</definedName>
    <definedName name="TraTH">NA()</definedName>
    <definedName name="TRI">'[6]Levels 1&amp;2 sans modicaftion'!$B$5:$AB$112</definedName>
    <definedName name="TronD10D18">NA()</definedName>
    <definedName name="TronD6D8">NA()</definedName>
    <definedName name="tru10mtc">NA()</definedName>
    <definedName name="tru8mtc">NA()</definedName>
    <definedName name="trytyt">NA()</definedName>
    <definedName name="tt1pnc">NA()</definedName>
    <definedName name="tt1pvl">NA()</definedName>
    <definedName name="tt3pnc">NA()</definedName>
    <definedName name="tt3pvl">NA()</definedName>
    <definedName name="TTCK">NA()</definedName>
    <definedName name="TTDD">NA()</definedName>
    <definedName name="TTDD3P">NA()</definedName>
    <definedName name="TTDDCT3p">NA()</definedName>
    <definedName name="TTDK">NA()</definedName>
    <definedName name="TTK3p">NA()</definedName>
    <definedName name="ttt">NA()</definedName>
    <definedName name="tttb">NA()</definedName>
    <definedName name="tx1pignc">NA()</definedName>
    <definedName name="tx1pindnc">NA()</definedName>
    <definedName name="tx1pingnc">NA()</definedName>
    <definedName name="tx1pintnc">NA()</definedName>
    <definedName name="tx1pitnc">NA()</definedName>
    <definedName name="tx2mhnnc">NA()</definedName>
    <definedName name="tx2mitnc">NA()</definedName>
    <definedName name="txhnnc">NA()</definedName>
    <definedName name="txig1nc">NA()</definedName>
    <definedName name="txin190nc">NA()</definedName>
    <definedName name="txinnc">NA()</definedName>
    <definedName name="txit1nc">NA()</definedName>
    <definedName name="TXTK">NA()</definedName>
    <definedName name="tyjtej" localSheetId="2">#REF!</definedName>
    <definedName name="tyjtej" localSheetId="0">#REF!</definedName>
    <definedName name="tyjtej" localSheetId="1">#REF!</definedName>
    <definedName name="tyjtej" localSheetId="3">#REF!</definedName>
    <definedName name="tyjtej">#REF!</definedName>
    <definedName name="UKAGE">'[11]Market data (by grade) (Euros)'!$B$144:$AA$155</definedName>
    <definedName name="UKAGL" localSheetId="2">#REF!</definedName>
    <definedName name="UKAGL" localSheetId="0">#REF!</definedName>
    <definedName name="UKAGL" localSheetId="1">#REF!</definedName>
    <definedName name="UKAGL" localSheetId="3">#REF!</definedName>
    <definedName name="UKAGL">#REF!</definedName>
    <definedName name="UKCOE">'[11]Market data (by grade) (Euros)'!$B$158:$AA$169</definedName>
    <definedName name="UKCOL" localSheetId="2">#REF!</definedName>
    <definedName name="UKCOL" localSheetId="0">#REF!</definedName>
    <definedName name="UKCOL" localSheetId="1">#REF!</definedName>
    <definedName name="UKCOL" localSheetId="3">#REF!</definedName>
    <definedName name="UKCOL">#REF!</definedName>
    <definedName name="UKPHE">'[11]Market data (by grade) (Euros)'!$B$130:$AA$141</definedName>
    <definedName name="UKPHL" localSheetId="2">#REF!</definedName>
    <definedName name="UKPHL" localSheetId="0">#REF!</definedName>
    <definedName name="UKPHL" localSheetId="1">#REF!</definedName>
    <definedName name="UKPHL" localSheetId="3">#REF!</definedName>
    <definedName name="UKPHL">#REF!</definedName>
    <definedName name="USAGE">'[11]Market data (by grade) (Euros)'!$B$102:$AA$113</definedName>
    <definedName name="USAGL" localSheetId="2">#REF!</definedName>
    <definedName name="USAGL" localSheetId="0">#REF!</definedName>
    <definedName name="USAGL" localSheetId="1">#REF!</definedName>
    <definedName name="USAGL" localSheetId="3">#REF!</definedName>
    <definedName name="USAGL">#REF!</definedName>
    <definedName name="USCOE">'[11]Market data (by grade) (Euros)'!$B$116:$AA$127</definedName>
    <definedName name="USCOL" localSheetId="2">#REF!</definedName>
    <definedName name="USCOL" localSheetId="0">#REF!</definedName>
    <definedName name="USCOL" localSheetId="1">#REF!</definedName>
    <definedName name="USCOL" localSheetId="3">#REF!</definedName>
    <definedName name="USCOL">#REF!</definedName>
    <definedName name="USCRE">'[11]Market data (by grade) (Euros)'!$B$102:$AA$113</definedName>
    <definedName name="USCRL" localSheetId="2">#REF!</definedName>
    <definedName name="USCRL" localSheetId="0">#REF!</definedName>
    <definedName name="USCRL" localSheetId="1">#REF!</definedName>
    <definedName name="USCRL" localSheetId="3">#REF!</definedName>
    <definedName name="USCRL">#REF!</definedName>
    <definedName name="USPHE">'[11]Market data (by grade) (Euros)'!$B$88:$AA$99</definedName>
    <definedName name="USPHL" localSheetId="2">#REF!</definedName>
    <definedName name="USPHL" localSheetId="0">#REF!</definedName>
    <definedName name="USPHL" localSheetId="1">#REF!</definedName>
    <definedName name="USPHL" localSheetId="3">#REF!</definedName>
    <definedName name="USPHL">#REF!</definedName>
    <definedName name="v">NA()</definedName>
    <definedName name="VA">NA()</definedName>
    <definedName name="vaa" localSheetId="1" hidden="1">{#N/A,#N/A,TRUE,"BT M200 da 10x20"}</definedName>
    <definedName name="vaa" hidden="1">{#N/A,#N/A,TRUE,"BT M200 da 10x20"}</definedName>
    <definedName name="valeur_cible_voiture" localSheetId="2">#REF!</definedName>
    <definedName name="valeur_cible_voiture" localSheetId="0">#REF!</definedName>
    <definedName name="valeur_cible_voiture" localSheetId="1">#REF!</definedName>
    <definedName name="valeur_cible_voiture" localSheetId="3">#REF!</definedName>
    <definedName name="valeur_cible_voiture">#REF!</definedName>
    <definedName name="Valeur_entrée_H">[13]interpolh!$C$2</definedName>
    <definedName name="vankhuon">NA()</definedName>
    <definedName name="vat">5</definedName>
    <definedName name="vc3.">NA()</definedName>
    <definedName name="vca">NA()</definedName>
    <definedName name="vccot.">NA()</definedName>
    <definedName name="vcdbt">NA()</definedName>
    <definedName name="vcdc.">NA()</definedName>
    <definedName name="vcdd">NA()</definedName>
    <definedName name="VCDD3p">NA()</definedName>
    <definedName name="vcdt">NA()</definedName>
    <definedName name="vcdtb">NA()</definedName>
    <definedName name="vctt">NA()</definedName>
    <definedName name="VCVBT1">NA()</definedName>
    <definedName name="VCVBT2">NA()</definedName>
    <definedName name="vcxa">NA()</definedName>
    <definedName name="VDCLY">NA()</definedName>
    <definedName name="vdkt">NA()</definedName>
    <definedName name="Vendor" localSheetId="2">#REF!</definedName>
    <definedName name="Vendor" localSheetId="0">#REF!</definedName>
    <definedName name="Vendor" localSheetId="1">#REF!</definedName>
    <definedName name="Vendor" localSheetId="3">#REF!</definedName>
    <definedName name="Vendor">#REF!</definedName>
    <definedName name="Vendor_Data" localSheetId="2">#REF!</definedName>
    <definedName name="Vendor_Data" localSheetId="0">#REF!</definedName>
    <definedName name="Vendor_Data" localSheetId="1">#REF!</definedName>
    <definedName name="Vendor_Data" localSheetId="3">#REF!</definedName>
    <definedName name="Vendor_Data">#REF!</definedName>
    <definedName name="VerRef">[5]Title!$B$16</definedName>
    <definedName name="vkds">NA()</definedName>
    <definedName name="vktc">NA()</definedName>
    <definedName name="vldd">NA()</definedName>
    <definedName name="VLHC">NA()</definedName>
    <definedName name="vltco">NA()</definedName>
    <definedName name="vltr">NA()</definedName>
    <definedName name="Volum">[24]List!$A$3:$A$61</definedName>
    <definedName name="Vr">NA()</definedName>
    <definedName name="vt1pbs">NA()</definedName>
    <definedName name="vtbs">NA()</definedName>
    <definedName name="vua_75">NA()</definedName>
    <definedName name="VuaBT200">NA()</definedName>
    <definedName name="wh_days_wkly" localSheetId="0">#REF!</definedName>
    <definedName name="wh_days_wkly" localSheetId="1">#REF!</definedName>
    <definedName name="wh_days_wkly">#REF!</definedName>
    <definedName name="wh_pub_hols" localSheetId="0">#REF!</definedName>
    <definedName name="wh_pub_hols" localSheetId="1">#REF!</definedName>
    <definedName name="wh_pub_hols">#REF!</definedName>
    <definedName name="wh_tot_days" localSheetId="0">#REF!</definedName>
    <definedName name="wh_tot_days" localSheetId="1">#REF!</definedName>
    <definedName name="wh_tot_days">#REF!</definedName>
    <definedName name="wh_weeks" localSheetId="0">#REF!</definedName>
    <definedName name="wh_weeks">#REF!</definedName>
    <definedName name="wrn.chi._.tiÆt." localSheetId="1" hidden="1">{#N/A,#N/A,FALSE,"Chi tiÆt"}</definedName>
    <definedName name="wrn.chi._.tiÆt." hidden="1">{#N/A,#N/A,FALSE,"Chi tiÆt"}</definedName>
    <definedName name="wrn.Classif."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wrn.Classif."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wrn.MGTPRT." localSheetId="1" hidden="1">{#N/A,#N/A,FALSE,"Sheet1";#N/A,#N/A,FALSE,"Key data stat 1";#N/A,#N/A,FALSE,"Key Data 2";#N/A,#N/A,FALSE,"Key Data Graph 3"}</definedName>
    <definedName name="wrn.MGTPRT." hidden="1">{#N/A,#N/A,FALSE,"Sheet1";#N/A,#N/A,FALSE,"Key data stat 1";#N/A,#N/A,FALSE,"Key Data 2";#N/A,#N/A,FALSE,"Key Data Graph 3"}</definedName>
    <definedName name="wrn.SQ." localSheetId="1" hidden="1">{#N/A,#N/A,FALSE,"soquy"}</definedName>
    <definedName name="wrn.SQ." hidden="1">{#N/A,#N/A,FALSE,"soquy"}</definedName>
    <definedName name="wrn.vd." localSheetId="1" hidden="1">{#N/A,#N/A,TRUE,"BT M200 da 10x20"}</definedName>
    <definedName name="wrn.vd." hidden="1">{#N/A,#N/A,TRUE,"BT M200 da 10x20"}</definedName>
    <definedName name="wt" localSheetId="1"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wt" hidden="1">{"Lait",#N/A,FALSE,"01";"Ninf",#N/A,FALSE,"02";"Csol",#N/A,FALSE,"03";"Aboi",#N/A,FALSE,"04";"choco",#N/A,FALSE,"05";"culin",#N/A,FALSE,"06";"surgelé",#N/A,FALSE,"07";"glace",#N/A,FALSE,"08";"reflait",#N/A,FALSE,"09";"boisliqu",#N/A,FALSE,"10";"rest",#N/A,FALSE,"11";"Oreal",#N/A,FALSE,"12";"pet",#N/A,FALSE,"14";"pharma",#N/A,FALSE,"13";"nutad",#N/A,FALSE,"15";"caftorr",#N/A,FALSE,"17";"refcul",#N/A,FALSE,"18";"annexe",#N/A,FALSE,"19"}</definedName>
    <definedName name="x17dnc">NA()</definedName>
    <definedName name="x17dvl">NA()</definedName>
    <definedName name="x17knc">NA()</definedName>
    <definedName name="x17kvl">NA()</definedName>
    <definedName name="X1pFCOnc">NA()</definedName>
    <definedName name="X1pFCOvc">NA()</definedName>
    <definedName name="X1pFCOvl">NA()</definedName>
    <definedName name="x1pignc">NA()</definedName>
    <definedName name="X1pIGvc">NA()</definedName>
    <definedName name="x1pigvl">NA()</definedName>
    <definedName name="x1pindnc">NA()</definedName>
    <definedName name="x1pindvl">NA()</definedName>
    <definedName name="x1pingnc">NA()</definedName>
    <definedName name="x1pingvl">NA()</definedName>
    <definedName name="x1pintnc">NA()</definedName>
    <definedName name="X1pINTvc">NA()</definedName>
    <definedName name="x1pintvl">NA()</definedName>
    <definedName name="x1pitnc">NA()</definedName>
    <definedName name="X1pITvc">NA()</definedName>
    <definedName name="x1pitvl">NA()</definedName>
    <definedName name="x20knc">NA()</definedName>
    <definedName name="x20kvl">NA()</definedName>
    <definedName name="x22knc">NA()</definedName>
    <definedName name="x22kvl">NA()</definedName>
    <definedName name="x2mig1nc">NA()</definedName>
    <definedName name="x2mig1vl">NA()</definedName>
    <definedName name="x2min1nc">NA()</definedName>
    <definedName name="x2min1vl">NA()</definedName>
    <definedName name="x2mit1vl">NA()</definedName>
    <definedName name="x2mitnc">NA()</definedName>
    <definedName name="xa">NA()</definedName>
    <definedName name="XCCT">0.5</definedName>
    <definedName name="xdsnc">NA()</definedName>
    <definedName name="xdsvl">NA()</definedName>
    <definedName name="xfconc">NA()</definedName>
    <definedName name="xfconc3p">NA()</definedName>
    <definedName name="xfcovl">NA()</definedName>
    <definedName name="xfcovl3p">NA()</definedName>
    <definedName name="xfnc">NA()</definedName>
    <definedName name="xfvl">NA()</definedName>
    <definedName name="xh_bq">NA()</definedName>
    <definedName name="xh_bv">NA()</definedName>
    <definedName name="xh_ck">NA()</definedName>
    <definedName name="xh_d1">NA()</definedName>
    <definedName name="xh_d2">NA()</definedName>
    <definedName name="xh_d3">NA()</definedName>
    <definedName name="xh_dl">NA()</definedName>
    <definedName name="xh_kcs">NA()</definedName>
    <definedName name="xh_nb">NA()</definedName>
    <definedName name="xh_ngio">NA()</definedName>
    <definedName name="xh_nv">NA()</definedName>
    <definedName name="xh_t3">NA()</definedName>
    <definedName name="xh_t4">NA()</definedName>
    <definedName name="xh_t5">NA()</definedName>
    <definedName name="xh_t6">NA()</definedName>
    <definedName name="xh_tc">NA()</definedName>
    <definedName name="xh_tm">NA()</definedName>
    <definedName name="xh_vs">NA()</definedName>
    <definedName name="xh_xh">NA()</definedName>
    <definedName name="xhnnc">NA()</definedName>
    <definedName name="xhnvl">NA()</definedName>
    <definedName name="Xi_m_ng_PC30">NA()</definedName>
    <definedName name="xig1nc">NA()</definedName>
    <definedName name="xig1pnc">NA()</definedName>
    <definedName name="xig1pvl">NA()</definedName>
    <definedName name="xig1vl">NA()</definedName>
    <definedName name="xig2nc">NA()</definedName>
    <definedName name="xig2vl">NA()</definedName>
    <definedName name="xiggnc">NA()</definedName>
    <definedName name="xiggvl">NA()</definedName>
    <definedName name="xignc">NA()</definedName>
    <definedName name="xigvl">NA()</definedName>
    <definedName name="XiMangPCB30">NA()</definedName>
    <definedName name="xin190nc">NA()</definedName>
    <definedName name="xin190nc3p">NA()</definedName>
    <definedName name="xin190vl">NA()</definedName>
    <definedName name="xin190vl3p">NA()</definedName>
    <definedName name="xin901nc">NA()</definedName>
    <definedName name="xin901vl">NA()</definedName>
    <definedName name="xind1pnc">NA()</definedName>
    <definedName name="xind1pvl">NA()</definedName>
    <definedName name="xindnc">NA()</definedName>
    <definedName name="xindnc3p">NA()</definedName>
    <definedName name="xindvl">NA()</definedName>
    <definedName name="xindvl3p">NA()</definedName>
    <definedName name="xing1pnc">NA()</definedName>
    <definedName name="xing1pvl">NA()</definedName>
    <definedName name="xinnc">NA()</definedName>
    <definedName name="xinvl">NA()</definedName>
    <definedName name="xit1nc">NA()</definedName>
    <definedName name="xit1pnc">NA()</definedName>
    <definedName name="xit1pvl">NA()</definedName>
    <definedName name="xit1vl">NA()</definedName>
    <definedName name="xit2nc">NA()</definedName>
    <definedName name="xit2vl">NA()</definedName>
    <definedName name="xitnc">NA()</definedName>
    <definedName name="xittnc">NA()</definedName>
    <definedName name="xittvl">NA()</definedName>
    <definedName name="xitvl">NA()</definedName>
    <definedName name="XKHAU">NA()</definedName>
    <definedName name="xm">NA()</definedName>
    <definedName name="XMcatden50">NA()</definedName>
    <definedName name="XMcatden75">NA()</definedName>
    <definedName name="xmcatvang100">NA()</definedName>
    <definedName name="XMcatvang50">NA()</definedName>
    <definedName name="XMcatvang75">NA()</definedName>
    <definedName name="xmtrang">NA()</definedName>
    <definedName name="XOANHAP">NA()</definedName>
    <definedName name="xr1nc">NA()</definedName>
    <definedName name="xr1vl">NA()</definedName>
    <definedName name="XTN">NA()</definedName>
    <definedName name="xtr3pnc">NA()</definedName>
    <definedName name="xtr3pvl">NA()</definedName>
    <definedName name="xuat_hien">NA()</definedName>
    <definedName name="Xuat_hien1">NA()</definedName>
    <definedName name="yt_bq">NA()</definedName>
    <definedName name="yt_bv">NA()</definedName>
    <definedName name="yt_ck">NA()</definedName>
    <definedName name="yt_d1">NA()</definedName>
    <definedName name="yt_d2">NA()</definedName>
    <definedName name="yt_d3">NA()</definedName>
    <definedName name="yt_dl">NA()</definedName>
    <definedName name="yt_kcs">NA()</definedName>
    <definedName name="yt_nb">NA()</definedName>
    <definedName name="yt_ngio">NA()</definedName>
    <definedName name="yt_nv">NA()</definedName>
    <definedName name="yt_t3">NA()</definedName>
    <definedName name="yt_t4">NA()</definedName>
    <definedName name="yt_t5">NA()</definedName>
    <definedName name="yt_t6">NA()</definedName>
    <definedName name="yt_tc">NA()</definedName>
    <definedName name="yt_tm">NA()</definedName>
    <definedName name="yt_vs">NA()</definedName>
    <definedName name="yt_xh">NA()</definedName>
    <definedName name="ytejtyj" localSheetId="2">#REF!</definedName>
    <definedName name="ytejtyj" localSheetId="0">#REF!</definedName>
    <definedName name="ytejtyj" localSheetId="1">#REF!</definedName>
    <definedName name="ytejtyj" localSheetId="3">#REF!</definedName>
    <definedName name="ytejtyj">#REF!</definedName>
    <definedName name="担当" localSheetId="2">#REF!</definedName>
    <definedName name="担当" localSheetId="0">#REF!</definedName>
    <definedName name="担当" localSheetId="1">#REF!</definedName>
    <definedName name="担当" localSheetId="3">#REF!</definedName>
    <definedName name="担当">#REF!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19" l="1"/>
  <c r="A19" i="19" s="1"/>
  <c r="A20" i="19" s="1"/>
  <c r="A21" i="19" s="1"/>
  <c r="A22" i="19" s="1"/>
  <c r="A23" i="19" s="1"/>
  <c r="A24" i="19" s="1"/>
  <c r="A25" i="19" s="1"/>
  <c r="A26" i="19" s="1"/>
  <c r="A27" i="19" s="1"/>
  <c r="A28" i="19" s="1"/>
  <c r="A29" i="19" s="1"/>
  <c r="A30" i="19" s="1"/>
  <c r="A31" i="19" s="1"/>
  <c r="A32" i="19" s="1"/>
  <c r="A33" i="19" s="1"/>
  <c r="D18" i="19"/>
  <c r="C18" i="19"/>
  <c r="J35" i="19"/>
  <c r="C16" i="19" l="1"/>
  <c r="D16" i="19"/>
  <c r="A16" i="19"/>
  <c r="A17" i="19" s="1"/>
  <c r="D5" i="19"/>
  <c r="D11" i="19" s="1"/>
  <c r="C5" i="19"/>
  <c r="C11" i="19" s="1"/>
  <c r="D8" i="19" l="1"/>
  <c r="D9" i="19" s="1"/>
  <c r="D12" i="19"/>
  <c r="C12" i="19"/>
  <c r="C8" i="19"/>
  <c r="C9" i="19" s="1"/>
  <c r="D10" i="19"/>
  <c r="C10" i="19"/>
  <c r="C7" i="19"/>
  <c r="D7" i="19"/>
  <c r="C14" i="11"/>
  <c r="E14" i="11"/>
  <c r="E4" i="11"/>
  <c r="E7" i="11" s="1"/>
  <c r="E8" i="11" s="1"/>
  <c r="C4" i="11"/>
  <c r="C6" i="11" s="1"/>
  <c r="E6" i="11" l="1"/>
  <c r="C7" i="11"/>
  <c r="C8" i="11" s="1"/>
  <c r="H29" i="18"/>
  <c r="D15" i="18"/>
  <c r="C15" i="18"/>
  <c r="A15" i="18"/>
  <c r="A16" i="18" s="1"/>
  <c r="A17" i="18" s="1"/>
  <c r="A18" i="18" s="1"/>
  <c r="A19" i="18" s="1"/>
  <c r="A20" i="18" s="1"/>
  <c r="A21" i="18" s="1"/>
  <c r="A22" i="18" s="1"/>
  <c r="A23" i="18" s="1"/>
  <c r="A24" i="18" s="1"/>
  <c r="A25" i="18" s="1"/>
  <c r="A26" i="18" s="1"/>
  <c r="A27" i="18" s="1"/>
  <c r="G9" i="18"/>
  <c r="E4" i="18"/>
  <c r="E6" i="18" s="1"/>
  <c r="D4" i="18"/>
  <c r="D7" i="18" s="1"/>
  <c r="D8" i="18" s="1"/>
  <c r="C4" i="18"/>
  <c r="C6" i="18" s="1"/>
  <c r="A34" i="19" l="1"/>
  <c r="A35" i="19" s="1"/>
  <c r="A36" i="19" s="1"/>
  <c r="A37" i="19" s="1"/>
  <c r="A38" i="19" s="1"/>
  <c r="A39" i="19" s="1"/>
  <c r="A40" i="19" s="1"/>
  <c r="A41" i="19" s="1"/>
  <c r="A42" i="19" s="1"/>
  <c r="A43" i="19" s="1"/>
  <c r="A44" i="19" s="1"/>
  <c r="A45" i="19" s="1"/>
  <c r="A46" i="19" s="1"/>
  <c r="A47" i="19" s="1"/>
  <c r="A48" i="19" s="1"/>
  <c r="A49" i="19" s="1"/>
  <c r="A29" i="18"/>
  <c r="A30" i="18" s="1"/>
  <c r="A31" i="18" s="1"/>
  <c r="A32" i="18" s="1"/>
  <c r="A33" i="18" s="1"/>
  <c r="A34" i="18" s="1"/>
  <c r="A35" i="18" s="1"/>
  <c r="A36" i="18" s="1"/>
  <c r="A28" i="18"/>
  <c r="D6" i="18"/>
  <c r="C7" i="18"/>
  <c r="C8" i="18" s="1"/>
  <c r="E7" i="18"/>
  <c r="E8" i="18" s="1"/>
  <c r="F30" i="16"/>
  <c r="F11" i="16"/>
  <c r="F33" i="16"/>
  <c r="E33" i="16"/>
  <c r="F32" i="16"/>
  <c r="E32" i="16"/>
  <c r="F31" i="16"/>
  <c r="E31" i="16"/>
  <c r="E30" i="16"/>
  <c r="F29" i="16"/>
  <c r="E29" i="16"/>
  <c r="F28" i="16"/>
  <c r="E28" i="16"/>
  <c r="F27" i="16"/>
  <c r="E27" i="16"/>
  <c r="F20" i="16"/>
  <c r="E20" i="16"/>
  <c r="F18" i="16"/>
  <c r="J18" i="16" s="1"/>
  <c r="E18" i="16"/>
  <c r="F15" i="16"/>
  <c r="E15" i="16"/>
  <c r="F14" i="16"/>
  <c r="J14" i="16" s="1"/>
  <c r="E14" i="16"/>
  <c r="F12" i="16"/>
  <c r="E12" i="16"/>
  <c r="F22" i="16"/>
  <c r="F24" i="16" s="1"/>
  <c r="F25" i="16" s="1"/>
  <c r="F26" i="16" s="1"/>
  <c r="E11" i="16"/>
  <c r="F10" i="16"/>
  <c r="E10" i="16"/>
  <c r="A37" i="18" l="1"/>
  <c r="A38" i="18" s="1"/>
  <c r="A39" i="18" s="1"/>
  <c r="A40" i="18" s="1"/>
  <c r="A41" i="18" s="1"/>
  <c r="A42" i="18" s="1"/>
  <c r="A43" i="18" s="1"/>
  <c r="A44" i="18" s="1"/>
  <c r="E22" i="16"/>
  <c r="E24" i="16" s="1"/>
  <c r="E25" i="16" s="1"/>
  <c r="E26" i="16" s="1"/>
  <c r="G8" i="18"/>
  <c r="H9" i="18"/>
  <c r="D8" i="13"/>
  <c r="G9" i="11"/>
  <c r="D4" i="11"/>
  <c r="D13" i="13" l="1"/>
  <c r="C13" i="13"/>
  <c r="F13" i="13"/>
  <c r="E13" i="13"/>
  <c r="B13" i="13"/>
  <c r="C9" i="13"/>
  <c r="F9" i="13"/>
  <c r="E9" i="13"/>
  <c r="D9" i="13"/>
  <c r="B9" i="13"/>
  <c r="C28" i="13" l="1"/>
  <c r="C27" i="13"/>
  <c r="B22" i="13"/>
  <c r="B18" i="13"/>
  <c r="B21" i="13"/>
  <c r="B19" i="13"/>
  <c r="G9" i="13"/>
  <c r="B20" i="13"/>
  <c r="B17" i="13"/>
  <c r="B16" i="13"/>
  <c r="B31" i="13"/>
  <c r="B27" i="13"/>
  <c r="D27" i="13" s="1"/>
  <c r="G13" i="13"/>
  <c r="B26" i="13"/>
  <c r="B30" i="13"/>
  <c r="B28" i="13"/>
  <c r="D28" i="13" s="1"/>
  <c r="B29" i="13"/>
  <c r="B25" i="13"/>
  <c r="C19" i="13"/>
  <c r="G12" i="13"/>
  <c r="C16" i="13"/>
  <c r="C17" i="13"/>
  <c r="C25" i="13"/>
  <c r="C26" i="13"/>
  <c r="G8" i="13"/>
  <c r="C18" i="13"/>
  <c r="D18" i="13" l="1"/>
  <c r="D25" i="13"/>
  <c r="E25" i="13" s="1"/>
  <c r="D26" i="13"/>
  <c r="D16" i="13"/>
  <c r="E16" i="13" s="1"/>
  <c r="D19" i="13"/>
  <c r="D17" i="13"/>
  <c r="A14" i="11" l="1"/>
  <c r="A15" i="11" s="1"/>
  <c r="A16" i="11" s="1"/>
  <c r="A17" i="11" s="1"/>
  <c r="A18" i="11" s="1"/>
  <c r="A19" i="11" s="1"/>
  <c r="A20" i="11" s="1"/>
  <c r="A21" i="11" s="1"/>
  <c r="A22" i="11" s="1"/>
  <c r="A23" i="11" s="1"/>
  <c r="A24" i="11" s="1"/>
  <c r="A25" i="11" s="1"/>
  <c r="A26" i="11" s="1"/>
  <c r="A27" i="11" s="1"/>
  <c r="A28" i="11" s="1"/>
  <c r="A29" i="11" s="1"/>
  <c r="A30" i="11" s="1"/>
  <c r="A31" i="11" s="1"/>
  <c r="A32" i="11" s="1"/>
  <c r="A33" i="11" s="1"/>
  <c r="A34" i="11" l="1"/>
  <c r="A35" i="11" s="1"/>
  <c r="A36" i="11" s="1"/>
  <c r="A37" i="11" s="1"/>
  <c r="D7" i="11"/>
  <c r="A38" i="11" l="1"/>
  <c r="A39" i="11" s="1"/>
  <c r="A40" i="11" s="1"/>
  <c r="A41" i="11" s="1"/>
  <c r="A42" i="11" s="1"/>
  <c r="A43" i="11" s="1"/>
  <c r="A44" i="11" s="1"/>
  <c r="A45" i="11" s="1"/>
  <c r="A46" i="11" s="1"/>
  <c r="A47" i="11" s="1"/>
  <c r="D8" i="11"/>
  <c r="D6" i="11"/>
  <c r="H31" i="11"/>
  <c r="D14" i="11"/>
  <c r="E16" i="8" l="1"/>
  <c r="E15" i="8"/>
  <c r="E14" i="8"/>
  <c r="E13" i="8"/>
  <c r="I8" i="8"/>
  <c r="J8" i="8" s="1"/>
  <c r="J13" i="8" s="1"/>
  <c r="J14" i="8"/>
  <c r="J15" i="8" s="1"/>
  <c r="C4" i="8"/>
  <c r="D12" i="8"/>
  <c r="I7" i="8" s="1"/>
  <c r="H9" i="11" l="1"/>
  <c r="G8" i="11"/>
  <c r="C47" i="10"/>
  <c r="J23" i="10"/>
  <c r="K23" i="10" s="1"/>
  <c r="J20" i="10"/>
  <c r="E13" i="10"/>
  <c r="C13" i="10"/>
  <c r="D12" i="10"/>
  <c r="A11" i="10"/>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H10" i="10"/>
  <c r="H11" i="10" s="1"/>
  <c r="G10" i="10"/>
  <c r="G13" i="10" s="1"/>
  <c r="D10" i="10"/>
  <c r="D13" i="10" s="1"/>
  <c r="C10" i="10"/>
  <c r="C22" i="10" s="1"/>
  <c r="C4" i="10" s="1"/>
  <c r="C6" i="10" s="1"/>
  <c r="F4" i="10"/>
  <c r="F6" i="10" s="1"/>
  <c r="E4" i="10"/>
  <c r="E6" i="10" s="1"/>
  <c r="H10" i="8"/>
  <c r="H4" i="8" s="1"/>
  <c r="G10" i="8"/>
  <c r="H13" i="10" l="1"/>
  <c r="H22" i="10"/>
  <c r="D4" i="10"/>
  <c r="D6" i="10" s="1"/>
  <c r="C11" i="10"/>
  <c r="C46" i="10"/>
  <c r="C48" i="10" s="1"/>
  <c r="G4" i="8" l="1"/>
  <c r="G7" i="8" l="1"/>
  <c r="G8" i="8" s="1"/>
  <c r="G6" i="8" l="1"/>
  <c r="J21" i="8"/>
  <c r="H13" i="8"/>
  <c r="J20" i="8" l="1"/>
  <c r="H11" i="8" l="1"/>
  <c r="J11" i="8" s="1"/>
  <c r="G13" i="8"/>
  <c r="H6" i="8" l="1"/>
  <c r="H7" i="8"/>
  <c r="H8" i="8" s="1"/>
  <c r="E4" i="8" l="1"/>
  <c r="E6" i="8" l="1"/>
  <c r="E7" i="8"/>
  <c r="E8" i="8" s="1"/>
  <c r="F4" i="8"/>
  <c r="F7" i="8" l="1"/>
  <c r="F8" i="8" s="1"/>
  <c r="F6" i="8"/>
  <c r="A11" i="8"/>
  <c r="A12" i="8" s="1"/>
  <c r="A13" i="8" s="1"/>
  <c r="A14" i="8" s="1"/>
  <c r="A15" i="8" s="1"/>
  <c r="A16" i="8" s="1"/>
  <c r="A17" i="8" s="1"/>
  <c r="A18" i="8" s="1"/>
  <c r="A19" i="8" s="1"/>
  <c r="A20" i="8" s="1"/>
  <c r="A22" i="8" l="1"/>
  <c r="A23" i="8" s="1"/>
  <c r="A24" i="8" s="1"/>
  <c r="A25" i="8" s="1"/>
  <c r="A26" i="8" s="1"/>
  <c r="A27" i="8" s="1"/>
  <c r="A28" i="8" s="1"/>
  <c r="A29" i="8" s="1"/>
  <c r="A30" i="8" s="1"/>
  <c r="A31" i="8" s="1"/>
  <c r="A32" i="8" s="1"/>
  <c r="A33" i="8" s="1"/>
  <c r="A34" i="8" s="1"/>
  <c r="A35" i="8" s="1"/>
  <c r="A36" i="8" s="1"/>
  <c r="A37" i="8" s="1"/>
  <c r="A38" i="8" s="1"/>
  <c r="A39" i="8" s="1"/>
  <c r="A40" i="8" s="1"/>
  <c r="A41" i="8" s="1"/>
  <c r="A42" i="8" s="1"/>
  <c r="A21" i="8"/>
  <c r="C13" i="8" l="1"/>
  <c r="C7" i="8" l="1"/>
  <c r="C8" i="8" s="1"/>
  <c r="C48" i="8"/>
  <c r="J24" i="8"/>
  <c r="K24" i="8" s="1"/>
  <c r="C6" i="8" l="1"/>
  <c r="D13" i="8"/>
  <c r="D4" i="8"/>
  <c r="C47" i="8"/>
  <c r="C49" i="8" s="1"/>
  <c r="C11" i="8"/>
  <c r="D6" i="8" l="1"/>
  <c r="D7" i="8"/>
  <c r="D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0" authorId="0" shapeId="0" xr:uid="{6E4FB4D1-91F9-4235-AA98-5D2FDB91BAA8}">
      <text>
        <r>
          <rPr>
            <b/>
            <sz val="9"/>
            <color indexed="81"/>
            <rFont val="Tahoma"/>
            <family val="2"/>
          </rPr>
          <t>Phí DV 420/nguoi
Thưởng Lễ trích 300k/ người/ năm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NUNT</author>
  </authors>
  <commentList>
    <comment ref="E10" authorId="0" shapeId="0" xr:uid="{00000000-0006-0000-0500-000001000000}">
      <text>
        <r>
          <rPr>
            <b/>
            <sz val="9"/>
            <color indexed="81"/>
            <rFont val="Tahoma"/>
            <family val="2"/>
          </rPr>
          <t>NUNT:</t>
        </r>
        <r>
          <rPr>
            <sz val="9"/>
            <color indexed="81"/>
            <rFont val="Tahoma"/>
            <family val="2"/>
          </rPr>
          <t xml:space="preserve">
ĐÃ BAO GỒM TIỀN CƠM
VÀ PC BH
</t>
        </r>
      </text>
    </comment>
    <comment ref="F10" authorId="0" shapeId="0" xr:uid="{00000000-0006-0000-0500-000002000000}">
      <text>
        <r>
          <rPr>
            <b/>
            <sz val="9"/>
            <color indexed="81"/>
            <rFont val="Tahoma"/>
            <family val="2"/>
          </rPr>
          <t>NUNT:</t>
        </r>
        <r>
          <rPr>
            <sz val="9"/>
            <color indexed="81"/>
            <rFont val="Tahoma"/>
            <family val="2"/>
          </rPr>
          <t xml:space="preserve">
đơn giá sẽ thay đổi theo từng thời điểm
</t>
        </r>
      </text>
    </comment>
    <comment ref="D12" authorId="0" shapeId="0" xr:uid="{00000000-0006-0000-0500-000003000000}">
      <text>
        <r>
          <rPr>
            <b/>
            <sz val="9"/>
            <color indexed="81"/>
            <rFont val="Tahoma"/>
            <family val="2"/>
          </rPr>
          <t>NUNT:</t>
        </r>
        <r>
          <rPr>
            <sz val="9"/>
            <color indexed="81"/>
            <rFont val="Tahoma"/>
            <family val="2"/>
          </rPr>
          <t xml:space="preserve">
lương cb 4180000*21.5%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NUNT</author>
  </authors>
  <commentList>
    <comment ref="E10" authorId="0" shapeId="0" xr:uid="{00000000-0006-0000-0600-000001000000}">
      <text>
        <r>
          <rPr>
            <b/>
            <sz val="9"/>
            <color indexed="81"/>
            <rFont val="Tahoma"/>
            <family val="2"/>
          </rPr>
          <t>NUNT:</t>
        </r>
        <r>
          <rPr>
            <sz val="9"/>
            <color indexed="81"/>
            <rFont val="Tahoma"/>
            <family val="2"/>
          </rPr>
          <t xml:space="preserve">
ĐÃ BAO GỒM TIỀN CƠM
VÀ PC BH
</t>
        </r>
      </text>
    </comment>
    <comment ref="F10" authorId="0" shapeId="0" xr:uid="{00000000-0006-0000-0600-000002000000}">
      <text>
        <r>
          <rPr>
            <b/>
            <sz val="9"/>
            <color indexed="81"/>
            <rFont val="Tahoma"/>
            <family val="2"/>
          </rPr>
          <t>NUNT:</t>
        </r>
        <r>
          <rPr>
            <sz val="9"/>
            <color indexed="81"/>
            <rFont val="Tahoma"/>
            <family val="2"/>
          </rPr>
          <t xml:space="preserve">
đơn giá sẽ thay đổi theo từng thời điểm
</t>
        </r>
      </text>
    </comment>
    <comment ref="D12" authorId="0" shapeId="0" xr:uid="{00000000-0006-0000-0600-000003000000}">
      <text>
        <r>
          <rPr>
            <b/>
            <sz val="9"/>
            <color indexed="81"/>
            <rFont val="Tahoma"/>
            <family val="2"/>
          </rPr>
          <t>NUNT:</t>
        </r>
        <r>
          <rPr>
            <sz val="9"/>
            <color indexed="81"/>
            <rFont val="Tahoma"/>
            <family val="2"/>
          </rPr>
          <t xml:space="preserve">
lương cb 4180000*21.5%
</t>
        </r>
      </text>
    </comment>
  </commentList>
</comments>
</file>

<file path=xl/sharedStrings.xml><?xml version="1.0" encoding="utf-8"?>
<sst xmlns="http://schemas.openxmlformats.org/spreadsheetml/2006/main" count="952" uniqueCount="308">
  <si>
    <t>CHÍNH THỨC</t>
  </si>
  <si>
    <t>Lương đóng bảo hiểm</t>
  </si>
  <si>
    <t>Lương tăng ca ngày nghỉ</t>
  </si>
  <si>
    <t>Lương tăng ca ngày lễ</t>
  </si>
  <si>
    <t>Ngày trả lương</t>
  </si>
  <si>
    <t>Điều chuyển</t>
  </si>
  <si>
    <t>Khi điều chuyển sẽ được thông báo mức lương mới trước khi điều chuyển</t>
  </si>
  <si>
    <t>Tham gia công đoàn</t>
  </si>
  <si>
    <t>NV đóng 1% lương CB</t>
  </si>
  <si>
    <t>Có</t>
  </si>
  <si>
    <t>Không</t>
  </si>
  <si>
    <t>Lì xì</t>
  </si>
  <si>
    <t>Đi làm ngày đầu năm</t>
  </si>
  <si>
    <t>Phép năm (12 ngày lương cơ bản)</t>
  </si>
  <si>
    <t xml:space="preserve">Thương Năng suất theo từng cá Nhân </t>
  </si>
  <si>
    <t>Lương cơ bản</t>
  </si>
  <si>
    <t xml:space="preserve">Phụ cấp Bảo hiểm </t>
  </si>
  <si>
    <t>THƯỞNG A,B,C</t>
  </si>
  <si>
    <t>PC cơm = tính theo số ngày thực tế đi làm ( &gt;=4h ) * 20,000đ
nếu làm =12h, phụ cấp thêm 1 phần</t>
  </si>
  <si>
    <t>Nghỉ lễ hưởng nguyên lương</t>
  </si>
  <si>
    <t>Bảo hiểm xã hội</t>
  </si>
  <si>
    <t>Kết hôn</t>
  </si>
  <si>
    <t>Ma chay</t>
  </si>
  <si>
    <t>STT</t>
  </si>
  <si>
    <t>NỘI DUNG</t>
  </si>
  <si>
    <t>CÁCH TÍNH</t>
  </si>
  <si>
    <t xml:space="preserve"> </t>
  </si>
  <si>
    <t>30,000 đ/1h</t>
  </si>
  <si>
    <t>40,000 đ/1h</t>
  </si>
  <si>
    <t>60,000 đ/1h</t>
  </si>
  <si>
    <t>BỐC XẾP</t>
  </si>
  <si>
    <t>80.000đ/kiện</t>
  </si>
  <si>
    <t>HỌC VIỆC (DƯỚI 15 NGÀY) Dành cho tác nghiệp ngoài</t>
  </si>
  <si>
    <t>Thưởng tết</t>
  </si>
  <si>
    <t>Lương 1h sẽ thay đổi theo giờ công chuẩn thực tế của tháng 
Chốt công từ ngày 1 đến cuối tháng, không ứng lương.</t>
  </si>
  <si>
    <t>Giờ thường: là giờ làm việc bình thường(  không tính tăng ca)
Lương CB nhận được= Giờ thường* lương 1h</t>
  </si>
  <si>
    <t>Lương chính( lương thường)</t>
  </si>
  <si>
    <t>Lương tăng ca ngày</t>
  </si>
  <si>
    <t>1,5</t>
  </si>
  <si>
    <t>CHẾ ĐỘ NHÂN VIÊN LÀM VIỆC TẠI COCA - NHÀ MÁY</t>
  </si>
  <si>
    <t>Pc ca đêm</t>
  </si>
  <si>
    <r>
      <t xml:space="preserve">Giờ ca đêm là giờ làm việc Từ 22h-6h
</t>
    </r>
    <r>
      <rPr>
        <sz val="11"/>
        <color rgb="FFFF0000"/>
        <rFont val="Times New Roman"/>
        <family val="1"/>
      </rPr>
      <t>PC ca đêm= lương 1h* số giờ làm đêm * 30%</t>
    </r>
  </si>
  <si>
    <t>Cơm</t>
  </si>
  <si>
    <t>Thưởng chuyên cần</t>
  </si>
  <si>
    <t>1. Không nghỉ không phép,
2. Gồm 3 chỉ tiêu an toàn( kpi/3), ý thức( kpi/3), chất lượng vệ sinh( kpi/3), mỗi lần vi phạm chỉ tiêu nào sẽ trừ kpi của chi tiêu đó.
3.- Nếu làm &gt;=26 ngày được hưởng PC KPI theo đánh giá, 
   - Nếu làm &lt;26 ngày, PC KPI = số tiền KPI theo đánh giá /26 * số ngày làm việc</t>
  </si>
  <si>
    <t>Thưởng  KPI</t>
  </si>
  <si>
    <t>Chi trả trực tiếp tiền phép năm vào lương hàng tháng. Áp dụng cho nhân viên làm việc trên 20 ngày/tháng, Làm việc dưới 20 ngày = 172,023/26* số ngày làm việc</t>
  </si>
  <si>
    <t>Chế độ nam tham gia BH nghỉ vợ sinh</t>
  </si>
  <si>
    <t>Huấn luyện</t>
  </si>
  <si>
    <t>Khi đi họp, huấn luyện, cty sẽ phụ cấp huấn luyện= lương 1h* số giờ đi họp, huấn luyện</t>
  </si>
  <si>
    <t>Theo quy định của nhà nước, 10 ngày, TH nghỉ phép cả tháng thì không hưởng chế độ này</t>
  </si>
  <si>
    <t>Thưởng lễ</t>
  </si>
  <si>
    <t>Không được xét chuyên cần và KPI.</t>
  </si>
  <si>
    <t xml:space="preserve">Bản thân kết hôn nghỉ 3 ngày hưởng nguyên lương và công đoàn mừng 300.000 (Nếu tham gia công đoàn), con kết hôn nghỉ 1 ngày hưởng nguyên lương </t>
  </si>
  <si>
    <t>Áp dụng cho TH con, bố đẻ, mẹ đẻ, bố chồng, mẹ chồng, bố vợ, mẹ vợ được nghỉ 3 ngày hưởng nguyên lương và cty phúng điếu 800.000,( bằng tiền hoặc vòng hoa..) công đoàn thăm 300.000( nếu tham gia công đoàn)</t>
  </si>
  <si>
    <t>Quà tết</t>
  </si>
  <si>
    <t>Du lịch</t>
  </si>
  <si>
    <t>Tất niên</t>
  </si>
  <si>
    <t>Bảo hiểm 24/24</t>
  </si>
  <si>
    <t xml:space="preserve">Khám sức khoẻ định kỳ </t>
  </si>
  <si>
    <r>
      <t xml:space="preserve">1. Lao động nam đang đóng bảo hiểm xã hội khi vợ sinh con , </t>
    </r>
    <r>
      <rPr>
        <sz val="11"/>
        <color rgb="FFFF0000"/>
        <rFont val="Times New Roman"/>
        <family val="1"/>
      </rPr>
      <t>Bảo hiểm thanh toán:</t>
    </r>
    <r>
      <rPr>
        <sz val="11"/>
        <color theme="1"/>
        <rFont val="Times New Roman"/>
        <family val="1"/>
      </rPr>
      <t xml:space="preserve">
a) 5 ngày làm việc;
b) 7 ngày làm việc khi vợ sinh con phải phẫu thuật, sinh con dưới 32 tuần tuổi;
c) Trường hợp vợ sinh đôi thì được nghỉ 10 ngày làm việc, từ sinh ba trở lên thì cứ thêm mỗi con được nghỉ thêm 3 ngày làm việc;
d) Trường hợp vợ sinh đôi trở lên mà phải phẫu thuật thì được nghỉ 14 ngày làm việc.</t>
    </r>
  </si>
  <si>
    <t>LẬP BẢNG</t>
  </si>
  <si>
    <t>KẾ TOÁN</t>
  </si>
  <si>
    <t>CL</t>
  </si>
  <si>
    <t>LCB</t>
  </si>
  <si>
    <t>Có tham gia gói 120.000 đ</t>
  </si>
  <si>
    <t>Có tham gia gói 410.000 đ</t>
  </si>
  <si>
    <t>Tất niên 500.000 đ /ngừoi ( nhân viên chính thức)</t>
  </si>
  <si>
    <t>Chế tài nghỉ không phép</t>
  </si>
  <si>
    <t>Quà 100.000 đ.
- Cty sẽ tặng quà vào dịp tết cho tât cả NV chính thức( chốt đến ngày 31/12), nhân viên phải làm việc đến ngày phát quà.
- Thời vụ : Không áp dụng.</t>
  </si>
  <si>
    <t>Chốt công 31/12/2019, Thưởng tết = LCB/12 * số tháng làm việc kể từ ngày ký hợp đồng chính thức. Áp dụng cho nhân viên còn làm việc đến ngày phát thưởng</t>
  </si>
  <si>
    <t>Đơn giá trên đã bao gồm tiền cơm</t>
  </si>
  <si>
    <t>THỜI VỤ (DƯỚI 1 THÁNG) - Học Việc Mix hàng</t>
  </si>
  <si>
    <t>Làm trên 8h tính tăng ca,( ngoại trừ chủ nhật, ngày lễ)
Lương tăng ca= lương 1 h* số giờ tăng ca*1.5
Học việc * đơn giá tăng ca</t>
  </si>
  <si>
    <t>Đi làm vào ngày lễ
Lương tăng ca lễ= Lương 1h* số giờ đi làm vào ngày lễ *3
Học việc * đơn giá ngày lễ</t>
  </si>
  <si>
    <t>Số giờ làm việc vào ngày nghỉ Là số giờ làm vào ngày nghỉ ( nếu không có thông báo khác như làm bù..)
Lương tăng ca vào ngày nghỉ = Lương 1h* số giờ làm việc vào ngày nghi *2
Học việc * đơn giá ngày nghỉ</t>
  </si>
  <si>
    <t>- Loại A = 500,000 đ, Loại B = 400,000 đ, Loại C = 300,000 đ, Loại D = 0 đồng
 - ( Hàng tháng khu vực sẽ đánh giá xếp loại )
- Nếu làm &gt;= 26 ngày thì hưởng trọn tiền thưởng theo đánh giá, nếu &lt; 26 ngày = tiền thưởng /26 * số ngày làm việc.</t>
  </si>
  <si>
    <r>
      <t>Lãnh lương bằng tiền mặt hoặc chuyển khoản
ck ngày 9, t</t>
    </r>
    <r>
      <rPr>
        <sz val="11"/>
        <color rgb="FFFF0000"/>
        <rFont val="Times New Roman"/>
        <family val="1"/>
      </rPr>
      <t>iền mặt 14h -16h ngày 14 tại CCL-NM</t>
    </r>
    <r>
      <rPr>
        <sz val="11"/>
        <color theme="1"/>
        <rFont val="Calibri"/>
        <family val="2"/>
        <scheme val="minor"/>
      </rPr>
      <t xml:space="preserve">.( nếu trùng chủ nhật ngày lễ lùi sau 1 ngày)
Các TH nghỉ việc lãnh lương vào lúc </t>
    </r>
    <r>
      <rPr>
        <sz val="11"/>
        <color rgb="FFFF0000"/>
        <rFont val="Times New Roman"/>
        <family val="1"/>
      </rPr>
      <t>15h-16h ngày 14</t>
    </r>
    <r>
      <rPr>
        <sz val="11"/>
        <color theme="1"/>
        <rFont val="Calibri"/>
        <family val="2"/>
        <scheme val="minor"/>
      </rPr>
      <t xml:space="preserve">( trùng cn lùi 1 này) </t>
    </r>
    <r>
      <rPr>
        <sz val="11"/>
        <color rgb="FFFF0000"/>
        <rFont val="Times New Roman"/>
        <family val="1"/>
      </rPr>
      <t>tại CCL-NM</t>
    </r>
    <r>
      <rPr>
        <sz val="11"/>
        <color theme="1"/>
        <rFont val="Calibri"/>
        <family val="2"/>
        <scheme val="minor"/>
      </rPr>
      <t xml:space="preserve">
Các trường hợp đi không đúng ngày thì lãnh lương vào lúc 14h-16h ngày 14-19 hàng tháng tại VP chính cty, phải đi lãnh lương trước ngày 20 hàng tháng, nếu bản thân không đi lãnh lương được trong thời gian này, phải báo cho quản lý để quản lý báo phòng nhân sự,  sau ngày 20 hàng tháng công ty sẽ không giải quyết nếu không báo trước.
</t>
    </r>
    <r>
      <rPr>
        <sz val="11"/>
        <color rgb="FFFF0000"/>
        <rFont val="Times New Roman"/>
        <family val="1"/>
      </rPr>
      <t xml:space="preserve">Trường hợp không đi lãnh lương được mà muốn ủy quyền cho người thân lấy hộ, phải gặp trưởng bộ phận trình bày lý do và xin giấy ủy quyền theo mẩu cty ( làm đầy đủ theo các hướng dẩn trong mẩu) </t>
    </r>
    <r>
      <rPr>
        <sz val="11"/>
        <color theme="1"/>
        <rFont val="Calibri"/>
        <family val="2"/>
        <scheme val="minor"/>
      </rPr>
      <t xml:space="preserve">
Khi đi lãnh lương tiền mặt phải mang theo CMND gốc và thẻ, các trường hợp không đúng quy định phải báo trước cho phòng nhân sự trước 1 tuần để phòng nhân sự có hướng giải quyết.
Khi đi lãnh lương phải xếp hàng và giữ trật tự.</t>
    </r>
  </si>
  <si>
    <t xml:space="preserve"> 
 Khi ký hợp đồng chính thức, Nhân viên gặp ủy viên, xin đơn gia nhập CĐ- mỗi tháng trích đóng 1% LCB</t>
  </si>
  <si>
    <t>CHÂM NƯỚC BÌNH (CHÍNH THỨC)</t>
  </si>
  <si>
    <t>CHÂM NƯỚC BÌNH ( HỌC VIỆC 1 THÁNG)</t>
  </si>
  <si>
    <t xml:space="preserve">1. Không nghỉ phép- 
2. Không vi phạm nội quy, không nghỉ ngày nào được hưởng 100%
3. Nghỉ 1 ngày có phép được hưởng phụ cấp 50%, nghỉ 2 ngày trở lên không áp dụng pc chuyền cần, các ngày làm dưới 4h tính là 1 ngày nghỉ có phép, các TH mới vào làm nếu không đủ ngày của tháng thì không tính chuyên cần, ( thông thường từ ngày 03 trở đi không có PC chuyên cần) - Các loại nghỉ không trừ chuyên cần : Nghỉ chế độ (cd), nghỉ phép năm (p), Nghỉ tua (N), nghỉ lễ (NL)
</t>
  </si>
  <si>
    <t xml:space="preserve">                          TRƯỞNG KHU VỰC                                     GIÁM ĐỐC ĐIỀU HÀNH                                TỔNG GIÁM ĐỐC</t>
  </si>
  <si>
    <t xml:space="preserve">      NGUYỄN THỊ NỤ                  BÙI THỊ SƠN                         LÊ THỊ TÂM</t>
  </si>
  <si>
    <t xml:space="preserve">                       NHÂN SỰ</t>
  </si>
  <si>
    <t xml:space="preserve">                          HỒ VĂN PHÚC                                         NGUYỄN TRUNG THÀNH                        </t>
  </si>
  <si>
    <t>Hàng tháng, Trưởng khu vực CCL-NM sẽ gửi bảng tổng hợp thưởng năng xuất cá nhân, tính theo qui chế thưởng của Khu vực hàng tháng</t>
  </si>
  <si>
    <t>PC công việc</t>
  </si>
  <si>
    <t>- Nếu làm &gt;=26 ngày được hưởng PC  theo đánh giá, 
   - Nếu làm &lt;26 ngày, PC = số tiền pc theo đánh giá /26 * số ngày làm việc</t>
  </si>
  <si>
    <t>1H</t>
  </si>
  <si>
    <t>Công ty đóng 21.5%, Người lao động đóng 10.5%, Trường hợp NLĐ Không làm việc và không hưởng lương từ 14 ngày làm việc trở lên thì ko đóng BHXH tháng đó, Công ty sẽ báo giảm BHXH tạm thời.</t>
  </si>
  <si>
    <t xml:space="preserve">
- Cty sẽ tặng quà vào dịp tết cho tât cả NV chính thức( chốt đến ngày 31/12), nhân viên phải làm việc đến ngày phát quà.
- Thời vụ : Không áp dụng.</t>
  </si>
  <si>
    <t>Bản số : 02 ; MKV CCL-NM áp dụng ngày 01/08/2019</t>
  </si>
  <si>
    <t>Áp dụng cho NV thời vụ (898,700 /26 * Số ngày làm việc)</t>
  </si>
  <si>
    <t>Hàng tháng, Trưởng khu vực CCL-NM sẽ gửi bảng tổng hợp thưởng năng xuất cá nhân, tính theo sản lượng thực tế của tháng.</t>
  </si>
  <si>
    <t>Cty đóng 21.5%, NLđ đóng 10.5%, Trường hợp trong tháng nhân viên đi làm dưới 12 ngày nào thì NLĐ phải đóng 32% hoặc cty sẽ báo giảm BH tạm thời tháng đó.</t>
  </si>
  <si>
    <t>CÓ</t>
  </si>
  <si>
    <t>Bản số : 01/2020 ; MKV CCL-NM áp dụng ngày 01/1/2020</t>
  </si>
  <si>
    <t>Áp dụng cho NV thời vụ (950.300 /26 * Số ngày làm việc), 
Nhóm HV Châm nước bình, khi ký HD chính thức sẽ chuyển PCBH vào lương.</t>
  </si>
  <si>
    <t>PC cơm = tính theo số ngày thực tế đi làm ( &gt;=4h ) * 25,000đ
nếu làm =12h, phụ cấp thêm 1 phần</t>
  </si>
  <si>
    <r>
      <t xml:space="preserve"> 1 Tháng làm việc  được hưởng 1 ngày phép năm
- Trường hợp còn phép năm, c</t>
    </r>
    <r>
      <rPr>
        <sz val="12"/>
        <color rgb="FFFF0000"/>
        <rFont val="Times New Roman"/>
        <family val="1"/>
      </rPr>
      <t xml:space="preserve">ông ty sẽ trả tiền phép năm vào lương cuối năm </t>
    </r>
    <r>
      <rPr>
        <sz val="12"/>
        <color theme="1"/>
        <rFont val="Times New Roman"/>
        <family val="1"/>
      </rPr>
      <t>(phát chung với lương tháng tết)</t>
    </r>
  </si>
  <si>
    <t>HỌC VIỆC (DƯỚI 1 THÁNG) Dành cho tác nghiệp ngoài</t>
  </si>
  <si>
    <t>Chốt công 31/12/2020, Thưởng tết = LCB/12 * số tháng làm việc kể từ ngày ký hợp đồng chính thức. Áp dụng cho nhân viên còn làm việc đến ngày phát thưởng</t>
  </si>
  <si>
    <t>Không áp dụng</t>
  </si>
  <si>
    <t>Làm trên 8h tính tăng ca,( ngoại trừ chủ nhật, ngày lễ)
Lương tăng ca= lương 1 h* số giờ tăng ca*1.5</t>
  </si>
  <si>
    <t>Đi làm vào ngày lễ
Lương tăng ca lễ= Lương 1h* số giờ đi làm vào ngày lễ *3</t>
  </si>
  <si>
    <t>- Nếu làm &gt;=26 ngày được hưởng trọn, 
   - Nếu làm &lt;26 ngày, thưởng HTCV /26 * số ngày làm việc</t>
  </si>
  <si>
    <t>Phụ cấp khác</t>
  </si>
  <si>
    <t>Theo quy định của nhà nước, 11 ngày, TH nghỉ phép cả tháng thì không hưởng chế độ này</t>
  </si>
  <si>
    <t>Phép năm</t>
  </si>
  <si>
    <t>CHÊNH LỆCH</t>
  </si>
  <si>
    <t>LƯƠNG 1 NGÀY (8H)</t>
  </si>
  <si>
    <t>LƯƠNG 1H</t>
  </si>
  <si>
    <t>Tỉ lệ lương</t>
  </si>
  <si>
    <t>Tỉ lệ bảo hiểm</t>
  </si>
  <si>
    <t>Nhân viên tham gia công đoàn và đóng 16.000 đ/ tháng và hưởng chế độ phúc lợi của Công Đoàn theo bảng phúc lợi</t>
  </si>
  <si>
    <t>Tỉ lệ tài chính lương/ doanh thu</t>
  </si>
  <si>
    <t>Có tham gia gói ……..đ</t>
  </si>
  <si>
    <t>Bảo hiểm khác</t>
  </si>
  <si>
    <t>Bản thân kết hôn nghỉ 3 ngày hưởng nguyên lương</t>
  </si>
  <si>
    <t>Tứ thân phụ mẫu, con mất nghỉ 3 ngày hưởng nguyên lương</t>
  </si>
  <si>
    <t>Nơi nhận:</t>
  </si>
  <si>
    <t>Lưu phòng kế toán</t>
  </si>
  <si>
    <t>-</t>
  </si>
  <si>
    <t>Phòng nhân sự</t>
  </si>
  <si>
    <t>Dự án</t>
  </si>
  <si>
    <t>NGÀY BAN HÀNH:</t>
  </si>
  <si>
    <t>HỌC VIỆC</t>
  </si>
  <si>
    <t>PC BHXH</t>
  </si>
  <si>
    <t>TỔNG HỌC VIỆC</t>
  </si>
  <si>
    <t>CA LÀM VIỆC</t>
  </si>
  <si>
    <t>NGÀY</t>
  </si>
  <si>
    <t>PHU CAP</t>
  </si>
  <si>
    <t>LUONG NGAY</t>
  </si>
  <si>
    <t>LƯƠNG THANG</t>
  </si>
  <si>
    <t>LƯƠNG 8H CA NGÀY</t>
  </si>
  <si>
    <t>LƯƠNG 8H CA ĐÊM</t>
  </si>
  <si>
    <t>LƯƠNG 12H CA NGÀY</t>
  </si>
  <si>
    <t>LƯƠNG 12H CA ĐÊM</t>
  </si>
  <si>
    <t>LƯƠNG 1H TĂNG CA</t>
  </si>
  <si>
    <t>LƯƠNG 1H CHỦ NHẬT</t>
  </si>
  <si>
    <t>PC 1H CA ĐÊM</t>
  </si>
  <si>
    <t>DIỄN GIẢI</t>
  </si>
  <si>
    <t>LƯƠNG/NGÀY</t>
  </si>
  <si>
    <t>NGƯỜI LẬP</t>
  </si>
  <si>
    <t>TRƯỞNG PHÒNG KT</t>
  </si>
  <si>
    <t>Công ty đóng BHXH theo quy định của luật BH hiện hành, Người lao động đóng 10.5%, Trường hợp NLĐ Không làm việc và không hưởng lương từ 14 ngày làm việc trở lên thì ko đóng BHXH tháng đó, Công ty sẽ báo giảm BHXH tạm thời.</t>
  </si>
  <si>
    <t>Thông tin khách hàng thanh toán</t>
  </si>
  <si>
    <t xml:space="preserve">CHẾ ĐỘ TUYỂN DỤNG DỰ ÁN </t>
  </si>
  <si>
    <t xml:space="preserve">NƠI NHẬN: BP TUYỂN DỤNG </t>
  </si>
  <si>
    <t>Chuyên càn</t>
  </si>
  <si>
    <t>Nhà ở</t>
  </si>
  <si>
    <t>1. Điều kiện Không xét chuyên cần: nghỉ không phép, vi phạm nội quy,
3.Nếu không vi phạm điều 1  thì tính = chuyên cần /26* ngày làm việc thực tế,</t>
  </si>
  <si>
    <t>1. Ngày Khách hàng Thanh toán: không
2.Không phải chờ khách hàng thanh toán mới Thành toán lương</t>
  </si>
  <si>
    <t>V01 ngày 10/05/2024</t>
  </si>
  <si>
    <t>Cost category
Hạng mục chi phí</t>
  </si>
  <si>
    <t>Unit
Đơn vị tính</t>
  </si>
  <si>
    <t>Remark
Ghi chú</t>
  </si>
  <si>
    <t>SERVICE FEE</t>
  </si>
  <si>
    <t>Ăn cơm tại nhà máy khách hàng trả</t>
  </si>
  <si>
    <t>Theo khách hàng</t>
  </si>
  <si>
    <t>Thu hút</t>
  </si>
  <si>
    <t>SERVICE QUOTATION 2024</t>
  </si>
  <si>
    <t>Green Speed confirm</t>
  </si>
  <si>
    <t>No
STT</t>
  </si>
  <si>
    <t>Unskilled Worker
(Normal working condition)</t>
  </si>
  <si>
    <t>Shift Leader</t>
  </si>
  <si>
    <r>
      <rPr>
        <sz val="12"/>
        <color theme="1"/>
        <rFont val="Tahoma"/>
        <family val="2"/>
      </rPr>
      <t>Basic salary</t>
    </r>
    <r>
      <rPr>
        <b/>
        <i/>
        <sz val="12"/>
        <color rgb="FF1E4E79"/>
        <rFont val="Tahoma"/>
        <family val="2"/>
      </rPr>
      <t xml:space="preserve">
</t>
    </r>
    <r>
      <rPr>
        <i/>
        <sz val="12"/>
        <color rgb="FF0070C0"/>
        <rFont val="Tahoma"/>
        <family val="2"/>
      </rPr>
      <t>Lương cơ bản</t>
    </r>
  </si>
  <si>
    <r>
      <rPr>
        <sz val="12"/>
        <color theme="1"/>
        <rFont val="Tahoma"/>
        <family val="2"/>
      </rPr>
      <t xml:space="preserve">VND/month
</t>
    </r>
    <r>
      <rPr>
        <i/>
        <sz val="12"/>
        <color rgb="FF0070C0"/>
        <rFont val="Tahoma"/>
        <family val="2"/>
      </rPr>
      <t>VND/tháng</t>
    </r>
  </si>
  <si>
    <r>
      <rPr>
        <sz val="12"/>
        <color theme="1"/>
        <rFont val="Tahoma"/>
        <family val="2"/>
      </rPr>
      <t xml:space="preserve">Home allowance
</t>
    </r>
    <r>
      <rPr>
        <i/>
        <sz val="12"/>
        <color rgb="FF0070C0"/>
        <rFont val="Tahoma"/>
        <family val="2"/>
      </rPr>
      <t>Phụ cấp nhà ở</t>
    </r>
  </si>
  <si>
    <t>250,000 VND per month, the 1st and last working month is pro-rated upon actual working date of employees.</t>
  </si>
  <si>
    <r>
      <rPr>
        <sz val="12"/>
        <color theme="1"/>
        <rFont val="Tahoma"/>
        <family val="2"/>
      </rPr>
      <t xml:space="preserve">Transportation allowance
</t>
    </r>
    <r>
      <rPr>
        <i/>
        <sz val="12"/>
        <color rgb="FF0070C0"/>
        <rFont val="Tahoma"/>
        <family val="2"/>
      </rPr>
      <t>Phụ cấp đi lại</t>
    </r>
  </si>
  <si>
    <t>300,000 VND per month, paid upon actual working date of employees</t>
  </si>
  <si>
    <r>
      <t xml:space="preserve">Responsibility allowance
</t>
    </r>
    <r>
      <rPr>
        <i/>
        <sz val="12"/>
        <color rgb="FF0070C0"/>
        <rFont val="Tahoma"/>
        <family val="2"/>
      </rPr>
      <t>Phụ cấp trách nhiệm</t>
    </r>
  </si>
  <si>
    <t>SWA provides 500K for this allowance</t>
  </si>
  <si>
    <t>A</t>
  </si>
  <si>
    <t>TOTAL GROSS SALARY</t>
  </si>
  <si>
    <r>
      <t xml:space="preserve">Social Insurance, Medical Insurance, Unemployment Insurance (21.5%)
</t>
    </r>
    <r>
      <rPr>
        <i/>
        <sz val="12"/>
        <color rgb="FF0070C0"/>
        <rFont val="Tahoma"/>
        <family val="2"/>
      </rPr>
      <t>Bảo hiểm xã hội, Bảo hiểm y tế, Bảo hiểm thất nghiệ</t>
    </r>
    <r>
      <rPr>
        <i/>
        <sz val="12"/>
        <color theme="4" tint="-0.249977111117893"/>
        <rFont val="Tahoma"/>
        <family val="2"/>
      </rPr>
      <t>p</t>
    </r>
    <r>
      <rPr>
        <sz val="12"/>
        <color theme="4" tint="-0.249977111117893"/>
        <rFont val="Tahoma"/>
        <family val="2"/>
      </rPr>
      <t xml:space="preserve"> </t>
    </r>
    <r>
      <rPr>
        <i/>
        <sz val="12"/>
        <color theme="4" tint="-0.249977111117893"/>
        <rFont val="Tahoma"/>
        <family val="2"/>
      </rPr>
      <t>(21.5%)</t>
    </r>
  </si>
  <si>
    <r>
      <t xml:space="preserve">VND/month
</t>
    </r>
    <r>
      <rPr>
        <i/>
        <sz val="12"/>
        <color rgb="FF0070C0"/>
        <rFont val="Tahoma"/>
        <family val="2"/>
      </rPr>
      <t>VND/tháng</t>
    </r>
  </si>
  <si>
    <t>Shift Leader: salary subjected to SMUI contribution: basic salary + responsibility allowance</t>
  </si>
  <si>
    <r>
      <rPr>
        <sz val="12"/>
        <color theme="1"/>
        <rFont val="Tahoma"/>
        <family val="2"/>
      </rPr>
      <t xml:space="preserve">Union Fund
</t>
    </r>
    <r>
      <rPr>
        <i/>
        <sz val="12"/>
        <color rgb="FF0070C0"/>
        <rFont val="Tahoma"/>
        <family val="2"/>
      </rPr>
      <t>Quỹ công đoàn</t>
    </r>
  </si>
  <si>
    <r>
      <t xml:space="preserve">Meal
</t>
    </r>
    <r>
      <rPr>
        <i/>
        <sz val="12"/>
        <color rgb="FF2E75B5"/>
        <rFont val="Tahoma"/>
        <family val="2"/>
      </rPr>
      <t>Cơm</t>
    </r>
  </si>
  <si>
    <t>SWAROVSKI supplies</t>
  </si>
  <si>
    <r>
      <t xml:space="preserve">Occupational accident insurance
</t>
    </r>
    <r>
      <rPr>
        <i/>
        <sz val="12"/>
        <color rgb="FF0070C0"/>
        <rFont val="Tahoma"/>
        <family val="2"/>
      </rPr>
      <t>Bảo hiểm TNLĐ</t>
    </r>
  </si>
  <si>
    <r>
      <t xml:space="preserve">Paid annual leave (12 days/year)
</t>
    </r>
    <r>
      <rPr>
        <i/>
        <sz val="12"/>
        <color rgb="FF0070C0"/>
        <rFont val="Tahoma"/>
        <family val="2"/>
      </rPr>
      <t>Lương ngày phép năm (12 ngày/năm)</t>
    </r>
  </si>
  <si>
    <r>
      <t xml:space="preserve">Paid national holidays off (11 days/year)
</t>
    </r>
    <r>
      <rPr>
        <i/>
        <sz val="12"/>
        <color rgb="FF0070C0"/>
        <rFont val="Tahoma"/>
        <family val="2"/>
      </rPr>
      <t>Lương ngày lễ hàng năm (11 ngày/năm)</t>
    </r>
  </si>
  <si>
    <t>Payfull package of month.</t>
  </si>
  <si>
    <r>
      <t xml:space="preserve">13th bonus 
</t>
    </r>
    <r>
      <rPr>
        <i/>
        <sz val="12"/>
        <color rgb="FF0070C0"/>
        <rFont val="Tahoma"/>
        <family val="2"/>
      </rPr>
      <t>Thưởng tháng 13</t>
    </r>
  </si>
  <si>
    <t>1, Remove ra khỏi báo giá
2, Cách tính thưởng SMV sẽ confirm cho JGS by 13.05.2024</t>
  </si>
  <si>
    <r>
      <t xml:space="preserve">Periodic health check pursuant to Circular14/2013
</t>
    </r>
    <r>
      <rPr>
        <i/>
        <sz val="12"/>
        <color rgb="FF0070C0"/>
        <rFont val="Tahoma"/>
        <family val="2"/>
      </rPr>
      <t>Khám sức khỏe định kỳ theo TT14/2013</t>
    </r>
  </si>
  <si>
    <r>
      <t xml:space="preserve">Safety training pursuant to Decree 44/2016
</t>
    </r>
    <r>
      <rPr>
        <i/>
        <sz val="12"/>
        <color rgb="FF0070C0"/>
        <rFont val="Tahoma"/>
        <family val="2"/>
      </rPr>
      <t>Huấn luyện ATLĐ theo Nghị định 44/2016</t>
    </r>
  </si>
  <si>
    <r>
      <rPr>
        <sz val="12"/>
        <color theme="1"/>
        <rFont val="Tahoma"/>
        <family val="2"/>
      </rPr>
      <t xml:space="preserve">Uniform 
</t>
    </r>
    <r>
      <rPr>
        <i/>
        <sz val="12"/>
        <color rgb="FF0070C0"/>
        <rFont val="Tahoma"/>
        <family val="2"/>
      </rPr>
      <t xml:space="preserve">Đồng phục </t>
    </r>
  </si>
  <si>
    <t>JGS only provides T-shirts</t>
  </si>
  <si>
    <r>
      <rPr>
        <sz val="12"/>
        <color theme="1"/>
        <rFont val="Tahoma"/>
        <family val="2"/>
      </rPr>
      <t xml:space="preserve">PPE
</t>
    </r>
    <r>
      <rPr>
        <i/>
        <sz val="12"/>
        <color rgb="FF0070C0"/>
        <rFont val="Tahoma"/>
        <family val="2"/>
      </rPr>
      <t>Bảo hộ lao động</t>
    </r>
  </si>
  <si>
    <t>B</t>
  </si>
  <si>
    <t>TOTAL C&amp;B</t>
  </si>
  <si>
    <r>
      <rPr>
        <sz val="12"/>
        <color theme="1"/>
        <rFont val="Tahoma"/>
        <family val="2"/>
      </rPr>
      <t xml:space="preserve">Operation fee
</t>
    </r>
    <r>
      <rPr>
        <i/>
        <sz val="12"/>
        <color rgb="FF0070C0"/>
        <rFont val="Tahoma"/>
        <family val="2"/>
      </rPr>
      <t>Phí quản lý, điều hành</t>
    </r>
  </si>
  <si>
    <r>
      <t xml:space="preserve">Service fee (12%)
</t>
    </r>
    <r>
      <rPr>
        <i/>
        <sz val="12"/>
        <color rgb="FF0070C0"/>
        <rFont val="Tahoma"/>
        <family val="2"/>
      </rPr>
      <t>Phí dịch vụ (12%)</t>
    </r>
  </si>
  <si>
    <t>C</t>
  </si>
  <si>
    <r>
      <rPr>
        <b/>
        <sz val="12"/>
        <color theme="1"/>
        <rFont val="Tahoma"/>
        <family val="2"/>
      </rPr>
      <t xml:space="preserve">Sevice charge for one labor per month
</t>
    </r>
    <r>
      <rPr>
        <b/>
        <i/>
        <sz val="12"/>
        <color rgb="FF0070C0"/>
        <rFont val="Tahoma"/>
        <family val="2"/>
      </rPr>
      <t>Chi phí cho một nhân viên mỗi tháng</t>
    </r>
  </si>
  <si>
    <r>
      <rPr>
        <b/>
        <sz val="12"/>
        <color theme="1"/>
        <rFont val="Tahoma"/>
        <family val="2"/>
      </rPr>
      <t xml:space="preserve">VND/month
</t>
    </r>
    <r>
      <rPr>
        <b/>
        <i/>
        <sz val="12"/>
        <color rgb="FF0070C0"/>
        <rFont val="Tahoma"/>
        <family val="2"/>
      </rPr>
      <t>VND/tháng</t>
    </r>
  </si>
  <si>
    <t>(A) + (B) + (C)</t>
  </si>
  <si>
    <r>
      <rPr>
        <sz val="12"/>
        <color theme="1"/>
        <rFont val="Tahoma"/>
        <family val="2"/>
      </rPr>
      <t xml:space="preserve">Allowance for Normal day (Night Shift)
</t>
    </r>
    <r>
      <rPr>
        <i/>
        <sz val="12"/>
        <color rgb="FF2E75B5"/>
        <rFont val="Tahoma"/>
        <family val="2"/>
      </rPr>
      <t>Phụ cấp ca đêm ngày thường</t>
    </r>
  </si>
  <si>
    <r>
      <t xml:space="preserve">VND/hour
</t>
    </r>
    <r>
      <rPr>
        <i/>
        <sz val="12"/>
        <color rgb="FF0070C0"/>
        <rFont val="Tahoma"/>
        <family val="2"/>
      </rPr>
      <t>VND/giờ</t>
    </r>
  </si>
  <si>
    <t xml:space="preserve">Calculated:=( basic salary + responsibility allowance ) * 1.12 (12% service fee) </t>
  </si>
  <si>
    <r>
      <t xml:space="preserve">Unit price for Normal Overtime
</t>
    </r>
    <r>
      <rPr>
        <i/>
        <sz val="12"/>
        <color theme="4" tint="-0.249977111117893"/>
        <rFont val="Tahoma"/>
        <family val="2"/>
      </rPr>
      <t>Đơn giá tăng ca ca ngày ngày thường</t>
    </r>
  </si>
  <si>
    <r>
      <t xml:space="preserve">Unit price for Normal Overtime (Night shift)
</t>
    </r>
    <r>
      <rPr>
        <i/>
        <sz val="12"/>
        <color theme="4" tint="-0.249977111117893"/>
        <rFont val="Tahoma"/>
        <family val="2"/>
      </rPr>
      <t>Đơn giá tăng ca ca đêm ngày thường</t>
    </r>
  </si>
  <si>
    <r>
      <t xml:space="preserve">Unit price for Weekly day off 
</t>
    </r>
    <r>
      <rPr>
        <i/>
        <sz val="12"/>
        <color theme="4" tint="-0.249977111117893"/>
        <rFont val="Tahoma"/>
        <family val="2"/>
      </rPr>
      <t xml:space="preserve">Đơn giá ca ngày ngày nghỉ hàng tuần </t>
    </r>
  </si>
  <si>
    <r>
      <t xml:space="preserve">Unit price for Weekly day off (Night Shift) 
</t>
    </r>
    <r>
      <rPr>
        <i/>
        <sz val="12"/>
        <color theme="4" tint="-0.249977111117893"/>
        <rFont val="Tahoma"/>
        <family val="2"/>
      </rPr>
      <t xml:space="preserve">Đơn giá ca đêm ngày nghỉ hàng tuần </t>
    </r>
  </si>
  <si>
    <r>
      <t xml:space="preserve">Unit price for Holiday working time
</t>
    </r>
    <r>
      <rPr>
        <i/>
        <sz val="12"/>
        <color theme="4" tint="-0.249977111117893"/>
        <rFont val="Tahoma"/>
        <family val="2"/>
      </rPr>
      <t>Đơn giá ca ngày ngày lễ</t>
    </r>
  </si>
  <si>
    <r>
      <t xml:space="preserve">Unit price for Holiday working time (Night Shift)
</t>
    </r>
    <r>
      <rPr>
        <i/>
        <sz val="12"/>
        <color theme="4" tint="-0.249977111117893"/>
        <rFont val="Tahoma"/>
        <family val="2"/>
      </rPr>
      <t>Đơn giá ca đêm ngày lễ</t>
    </r>
  </si>
  <si>
    <t>Trách nhiệm</t>
  </si>
  <si>
    <t>- Nếu làm &gt;= ngày công chuẩn được hưởng trọn, 
 - Còn lại PC KPI = số tiền /ngày công chuẩn * số ngày làm việc</t>
  </si>
  <si>
    <t>Học việc 29 ngày</t>
  </si>
  <si>
    <t>Chính thức</t>
  </si>
  <si>
    <t>Có tham gia gói 84.000đ</t>
  </si>
  <si>
    <t>Có tham gia gói 400.000đ</t>
  </si>
  <si>
    <r>
      <t>Lương 1h sẽ thay đổi theo giờ công chuẩn thực tế của tháng.</t>
    </r>
    <r>
      <rPr>
        <sz val="11"/>
        <color rgb="FFFF0000"/>
        <rFont val="Times New Roman"/>
        <family val="1"/>
      </rPr>
      <t xml:space="preserve">
</t>
    </r>
    <r>
      <rPr>
        <sz val="11"/>
        <color theme="1"/>
        <rFont val="Times New Roman"/>
        <family val="1"/>
      </rPr>
      <t>Chốt công từ ngày 21 đến ngày 20.</t>
    </r>
  </si>
  <si>
    <t>Ngày thanh toán lương : Chuyển khoản ngày cuối tháng, ( Nếu trùng vào thứ 7 thì ck thứ 6, nếu trùng vào chủ nhật, lễ thì chuyển lùi sau 1 ngày ), Các trường hợp chưa có số tài khoản thì dự án hướng dẫn nhân viên đi làm thẻ, bổ sung cho kế toán và sẽ được chuyển tiền lương theo lịch quy định vào thứ 4 hàng tuần.</t>
  </si>
  <si>
    <t>Đi lại</t>
  </si>
  <si>
    <t xml:space="preserve">Note: Dự án mới </t>
  </si>
  <si>
    <t>Giờ thường: là giờ làm việc bình thường (không tính tăng ca)
Lương CB nhận được= Giờ thường* lương 1h</t>
  </si>
  <si>
    <t>Lương tính tăng ca</t>
  </si>
  <si>
    <t>LCB=LCB/ ngày công chuẩn của tháng* Số ngày đi làm</t>
  </si>
  <si>
    <t>Ngày công chuẩn là ngày trong tháng - chủ nhật</t>
  </si>
  <si>
    <t>LCB/208* số giờ tăng ca*150%</t>
  </si>
  <si>
    <t>LCB/208* số giờ tăng ca*200%</t>
  </si>
  <si>
    <t>LCB/208* số giờ tăng ca*300%</t>
  </si>
  <si>
    <t>Cách tính lương</t>
  </si>
  <si>
    <t>(LCB+TN)/công chuẩn trong tháng</t>
  </si>
  <si>
    <t>Số giờ làm việc vào ngày nghỉ Là số giờ làm vào ngày nghỉ (nếu không có thông báo khác như làm bù..)
Lương tăng ca vào ngày nghỉ = Lương 1h* số giờ làm việc vào ngày nghi *2</t>
  </si>
  <si>
    <r>
      <t xml:space="preserve"> 1 Tháng làm việc  được hưởng 1 ngày phép năm, Phép năm được tính </t>
    </r>
    <r>
      <rPr>
        <sz val="12"/>
        <color rgb="FFFF0000"/>
        <rFont val="Times New Roman"/>
        <family val="1"/>
      </rPr>
      <t xml:space="preserve">từ ngày vào làm ) </t>
    </r>
    <r>
      <rPr>
        <sz val="12"/>
        <color theme="1"/>
        <rFont val="Times New Roman"/>
        <family val="1"/>
      </rPr>
      <t xml:space="preserve">
- Trường hợp còn phép năm, </t>
    </r>
    <r>
      <rPr>
        <sz val="12"/>
        <color rgb="FFFF0000"/>
        <rFont val="Times New Roman"/>
        <family val="1"/>
      </rPr>
      <t>công ty sẽ trả tiền phép năm khi nghì việc hoặc chi vào lương cuối năm (=LCB/26*số ngày phép còn lại)</t>
    </r>
  </si>
  <si>
    <t>Áp dụng cho Nhân viên còn làm việc tới cuối năm 
Các tính: Số tháng làm việc &gt;=12 tháng hưởng 1 tháng LCB
Nhân viên làm &lt;12 tháng= 1 tháng LCB/12*số tháng làm việc thực tế trong năm
Số tháng việc=ngày cuối cùng của năm-ngày nhận việc
Tháng làm việc thực tế= (ngày 31/12- ngày nhận việc+1)/365/12</t>
  </si>
  <si>
    <t>Mã 001- SWM-DN-2024-V01, áp dụng ngày 20/5/2024</t>
  </si>
  <si>
    <t>CHẾ ĐỘ NHÂN VIÊN LÀM VIỆC TẠI SWM-DN</t>
  </si>
  <si>
    <t xml:space="preserve">     LẬP BẢNG                    CÔNG ĐOÀN                            KẾ TOÁN                                NHÂN SỰ                                DỰ ÁN                                GIÁM ĐỐC ĐIỀU HÀNH</t>
  </si>
  <si>
    <t xml:space="preserve">   NGUYỄN THỊ PHÚ         NGUYỄN THỊ NỤ            BÙI THỊ SƠN                    PHẠM QUANG NHẬT                                                                                                         </t>
  </si>
  <si>
    <r>
      <t xml:space="preserve"> 1 Tháng làm việc  được hưởng 1 ngày phép năm, Phép năm được tính </t>
    </r>
    <r>
      <rPr>
        <sz val="12"/>
        <color rgb="FFFF0000"/>
        <rFont val="Times New Roman"/>
        <family val="1"/>
      </rPr>
      <t xml:space="preserve">từ ngày vào làm ) </t>
    </r>
    <r>
      <rPr>
        <sz val="12"/>
        <color theme="1"/>
        <rFont val="Times New Roman"/>
        <family val="1"/>
      </rPr>
      <t xml:space="preserve">
- Trường hợp còn phép năm, </t>
    </r>
    <r>
      <rPr>
        <sz val="12"/>
        <color rgb="FFFF0000"/>
        <rFont val="Times New Roman"/>
        <family val="1"/>
      </rPr>
      <t>công ty sẽ trả tiền phép năm khi nghì việc hoặc chi vào lương cuối năm (=LCB/26*số ngày phép còn lại)
Riêng nhóm quản lý phép sẽ chi riêng vào dịp tết âm lịch</t>
    </r>
  </si>
  <si>
    <t>Mã 001- SWM-DN-2025-V01, áp dụng ngày 1/1/2025</t>
  </si>
  <si>
    <t>Chưa xét</t>
  </si>
  <si>
    <t>Chính thức 12 tháng</t>
  </si>
  <si>
    <t>Đủ điều kiện tham gia BHXH</t>
  </si>
  <si>
    <t>Chính thức 1 tháng</t>
  </si>
  <si>
    <t>(LCB+TN)</t>
  </si>
  <si>
    <r>
      <t>Lương 1h sẽ thay đổi theo giờ công chuẩn thực tế của tháng.
Cách tính= LCB/ ngày công chuẩn/8* số giờ làm việc bình thường (ko tính tăng ca)</t>
    </r>
    <r>
      <rPr>
        <sz val="11"/>
        <color rgb="FFFF0000"/>
        <rFont val="Times New Roman"/>
        <family val="1"/>
      </rPr>
      <t xml:space="preserve">
</t>
    </r>
    <r>
      <rPr>
        <sz val="11"/>
        <color theme="1"/>
        <rFont val="Times New Roman"/>
        <family val="1"/>
      </rPr>
      <t>Chốt công từ ngày 21 đến ngày 20.</t>
    </r>
  </si>
  <si>
    <t>Lương 1h tính tăng ca=( LCB+TN)/208</t>
  </si>
  <si>
    <t>Làm trên 8h tính tăng ca,( ngoại trừ chủ nhật, ngày lễ)
Lương tăng ca= lương 1h tính tăng ca* số giờ tăng ca*1.5</t>
  </si>
  <si>
    <t>Số giờ làm việc vào ngày nghỉ Là số giờ làm vào ngày nghỉ (nếu không có thông báo khác như làm bù..)
Lương tăng ca vào ngày nghỉ = Lương 1h tính tăng ca* số giờ làm việc vào ngày nghi *2</t>
  </si>
  <si>
    <t>Đi làm vào ngày lễ
Lương tăng ca lễ= Lương 1h tính tăng ca* số giờ đi làm vào ngày lễ *3</t>
  </si>
  <si>
    <r>
      <t xml:space="preserve">Giờ ca đêm là giờ làm việc Từ 22h-6h
</t>
    </r>
    <r>
      <rPr>
        <sz val="11"/>
        <color rgb="FFFF0000"/>
        <rFont val="Times New Roman"/>
        <family val="1"/>
      </rPr>
      <t>PC ca đêm= lương 1h tính tăng ca* số giờ làm đêm * 30%</t>
    </r>
  </si>
  <si>
    <t>- Nếu làm &gt;= ngày công chuẩn được hưởng trọn, 
 - Còn lại  = số tiền /ngày công chuẩn * số ngày làm việc</t>
  </si>
  <si>
    <t>- Nếu làm &gt;= ngày công chuẩn được hưởng trọn, 
 - Còn lại = số tiền /ngày công chuẩn * số ngày làm việc</t>
  </si>
  <si>
    <t>Nhân viên tham gia công đoàn và đóng 23.400 đ/ tháng và hưởng chế độ phúc lợi của Công Đoàn theo bảng phúc lợi</t>
  </si>
  <si>
    <t>- Chỉ áp dụng cho Trưởng ca mức hưởng theo hợp đồng (hàng tháng dự án gửi đánh giá)
Nếu làm &gt;= ngày công chuẩn ngày được hưởng trọn, 
   - còn lại, thưởng  /ngày công chuẩn * số ngày làm việc</t>
  </si>
  <si>
    <t>Thưởng/ HTCV</t>
  </si>
  <si>
    <t>KHÔNG IN</t>
  </si>
  <si>
    <t>TỔNG TRẢ LƯƠNG</t>
  </si>
  <si>
    <t>TONG BÁO GIÁ</t>
  </si>
  <si>
    <t>LƯƠNG 1 GIỜ</t>
  </si>
  <si>
    <t>ĐỐI CHIẾU BÁO GIÁ</t>
  </si>
  <si>
    <t>Lương 1 giờ</t>
  </si>
  <si>
    <t>Lương tăng ca ngày (Hệ số)</t>
  </si>
  <si>
    <t>Làm trên 8h tính tăng ca, (ngoại trừ chủ nhật, ngày lễ)
Lương tăng ca= lương 1 h* số giờ tăng ca*1.5</t>
  </si>
  <si>
    <t>Lương tăng ca đêm ngày thường (Hệ số)</t>
  </si>
  <si>
    <t>2.0</t>
  </si>
  <si>
    <r>
      <t>Là giờ tăng ca ca đêm ngày thường:</t>
    </r>
    <r>
      <rPr>
        <b/>
        <sz val="11"/>
        <color rgb="FFFF0000"/>
        <rFont val="Calibri"/>
        <family val="2"/>
        <scheme val="minor"/>
      </rPr>
      <t xml:space="preserve"> (Trường hợp không làm thêm giờ vào ban ngày).</t>
    </r>
    <r>
      <rPr>
        <sz val="11"/>
        <rFont val="Calibri"/>
        <family val="2"/>
        <scheme val="minor"/>
      </rPr>
      <t xml:space="preserve">
Lương tăng ca đêm ngày thường = lương 1 h * số giờ tăng ca ca đêm ngày thường * 2.0</t>
    </r>
  </si>
  <si>
    <r>
      <t>Là giờ tăng ca ca đêm ngày thường:</t>
    </r>
    <r>
      <rPr>
        <b/>
        <sz val="11"/>
        <color rgb="FFFF0000"/>
        <rFont val="Calibri"/>
        <family val="2"/>
        <scheme val="minor"/>
      </rPr>
      <t xml:space="preserve"> (Trường hợp có làm thêm giờ vào ban ngày).</t>
    </r>
    <r>
      <rPr>
        <sz val="11"/>
        <rFont val="Calibri"/>
        <family val="2"/>
        <scheme val="minor"/>
      </rPr>
      <t xml:space="preserve">
Lương tăng ca đêm ngày thường = lương 1 h * số giờ tăng ca ca đêm ngày thường * 2.1</t>
    </r>
  </si>
  <si>
    <t>Lương tăng ca ngày nghỉ (Hệ số)</t>
  </si>
  <si>
    <t>Số giờ làm việc vào ngày nghỉ ( Ngày nghỉ theo quy định của từng dự án)
Lương tăng ca vào ngày nghỉ = Lương 1h* số giờ làm việc vào ngày nghi *2</t>
  </si>
  <si>
    <t>Lương tăng ca đêm ngày nghỉ (Hệ số)</t>
  </si>
  <si>
    <t>Số giờ làm việc vào ca đêm ngày nghỉ ( Ngày nghỉ theo quy định của từng dự án)
Lương tăng ca vào ca đêm ngày nghỉ = Lương 1h* số giờ làm việc vào ca đêm ngày nghi *2.7</t>
  </si>
  <si>
    <t>Lương tăng ca ngày Lễ (Hệ số)</t>
  </si>
  <si>
    <t>Đi làm vào ngày Lễ
Lương tăng ca Lễ= Lương 1h* số giờ đi làm vào ngày Lễ *3</t>
  </si>
  <si>
    <t>Lương tăng ca đêm ngày Lễ (Hệ số)</t>
  </si>
  <si>
    <t>Đi làm vào ca đêm ngày Lễ
Lương tăng ca ca đêm ngày Lễ= Lương 1h* số giờ đi làm vào ca đêm ngày Lễ *3.9</t>
  </si>
  <si>
    <t>Phụ cấp ca đêm (Hệ số)</t>
  </si>
  <si>
    <r>
      <t xml:space="preserve">Giờ ca đêm là giờ làm việc Từ 22h-6h
</t>
    </r>
    <r>
      <rPr>
        <sz val="11"/>
        <color rgb="FFFF0000"/>
        <rFont val="Calibri"/>
        <family val="2"/>
        <scheme val="minor"/>
      </rPr>
      <t>PC ca đêm= lương 1h* số giờ làm đêm * 30%</t>
    </r>
  </si>
  <si>
    <t>Tiền cơm</t>
  </si>
  <si>
    <r>
      <t>Điều chuyển công tác:</t>
    </r>
    <r>
      <rPr>
        <sz val="11"/>
        <color theme="1"/>
        <rFont val="Calibri"/>
        <family val="2"/>
        <scheme val="minor"/>
      </rPr>
      <t xml:space="preserve"> Nhân viên được thông báo mức lương mới trước khi thực hiện điều chuyển.</t>
    </r>
  </si>
  <si>
    <r>
      <t>Hội họp/Huấn luyện:</t>
    </r>
    <r>
      <rPr>
        <sz val="11"/>
        <color theme="1"/>
        <rFont val="Calibri"/>
        <family val="2"/>
        <scheme val="minor"/>
      </rPr>
      <t xml:space="preserve"> Được tính phụ cấp bằng: Lương 1h * số giờ tham gia</t>
    </r>
  </si>
  <si>
    <t>Nghỉ Lễ hưởng nguyên lương</t>
  </si>
  <si>
    <t>Thưởng Lễ</t>
  </si>
  <si>
    <t>Công ty và người lao động đóng BHXH theo quy định của luật Bảo hiểm hiện hành, Trường hợp Người lao động Không làm việc và không hưởng lương từ 14 ngày làm việc trở lên thì Công ty sẽ báo giảm BHXH không lương hoặc theo sự thỏa thuận giữa NLD và NSDLD</t>
  </si>
  <si>
    <t>Quy chế khấu hao BHLĐ</t>
  </si>
  <si>
    <t xml:space="preserve">             LẬP BẢNG                                     C&amp;B                                  TÀI CHÍNH                                            NHÂN SỰ                                              BÁO GIÁ                                                       GIÁM ĐỐC ĐIỀU HÀNH</t>
  </si>
  <si>
    <t xml:space="preserve">   NGUYỄN THỊ PHÚ                      NGUYỄN THỊ NỤ                       BÙI THỊ SƠN                                LÊ THỊ LAN HƯƠNG                             PHAN NỮ HÀ MY                                                 PHẠM QUANG NHẬT</t>
  </si>
  <si>
    <t>QUY CHẾ TÍNH LƯƠNG  DỰ ÁN SWM-DN
(CHỈ SỬ DỤNG NỘI BỘ: BOD, KẾ TOÁN, NHÂN SỰ, DỰ ÁN)</t>
  </si>
  <si>
    <t>CÔNG NHÂN SẢN XUẤT
HĐLĐ 1 năm (2 lần) =&gt; KXĐTH</t>
  </si>
  <si>
    <t>QUẢN LÝ
HĐLĐ 1 năm (2 lần) =&gt; KXĐTH</t>
  </si>
  <si>
    <t>Chốt công từ ngày 21 đến ngày 20.
Ngày làm việc bình thường 08h/ngày
 Áp dụng công chuẩn theo từng tháng (tổng ngày trong tháng - ngày nghỉ  theo quy định = ngày công chuẩn)
Cách tính lương = Lương cơ bản / ngày công chuẩn trong tháng * ngày làm việc bình thường</t>
  </si>
  <si>
    <t>Ngày thanh toán lương : Chuyển khoản ngày cuối tháng, (Nếu trùng vào thứ 7 hoặc chủ nhật thì chuyển khoản thứ 6), Các trường hợp chưa có số tài khoản thì dự án hướng dẫn nhân viên làm thẻ ATM bổ sung cho kế toán và sẽ được chuyển tiền lương theo lịch quy định vào thứ 4 hàng tuần</t>
  </si>
  <si>
    <r>
      <t xml:space="preserve">Nghỉ lễ theo quy định của luật hiện hành, trường hợp nhân viên nghỉ phép cả tháng thì không hưởng chế độ này.
</t>
    </r>
    <r>
      <rPr>
        <sz val="11"/>
        <color rgb="FFFF0000"/>
        <rFont val="Calibri"/>
        <family val="2"/>
        <scheme val="minor"/>
      </rPr>
      <t xml:space="preserve"> Nghỉ lễ không trích hàng tháng và trả tại thời điểm phát sinh.</t>
    </r>
  </si>
  <si>
    <r>
      <t xml:space="preserve">+ Trang bị bảo hộ lao động cấp phát theo quy định của dự án gồm: </t>
    </r>
    <r>
      <rPr>
        <b/>
        <sz val="11"/>
        <color rgb="FFFF0000"/>
        <rFont val="Arial"/>
        <family val="2"/>
      </rPr>
      <t>Áo: 02 cái</t>
    </r>
    <r>
      <rPr>
        <sz val="11"/>
        <color theme="1"/>
        <rFont val="Arial"/>
        <family val="2"/>
      </rPr>
      <t xml:space="preserve">
+ Thời gian khấu hao: 06 tháng kể từ ngày cấp phát. 
</t>
    </r>
    <r>
      <rPr>
        <b/>
        <u/>
        <sz val="11"/>
        <color theme="1"/>
        <rFont val="Arial"/>
        <family val="2"/>
      </rPr>
      <t>Lưu ý:</t>
    </r>
    <r>
      <rPr>
        <sz val="11"/>
        <color theme="1"/>
        <rFont val="Arial"/>
        <family val="2"/>
      </rPr>
      <t xml:space="preserve"> Trường hợp người lao động nghỉ việc trước thời hạn khấu hao, Công ty sẽ tiến hành khấu trừ phần giá trị còn lại của Trang bị bảo hộ lao động theo tỷ lệ khấu hao tương ứng.</t>
    </r>
  </si>
  <si>
    <r>
      <t xml:space="preserve">Có tham gia gói  84.000đ </t>
    </r>
    <r>
      <rPr>
        <b/>
        <sz val="11"/>
        <color rgb="FFFF0000"/>
        <rFont val="Calibri"/>
        <family val="2"/>
        <scheme val="minor"/>
      </rPr>
      <t>(Có, Ngân sách 84.000/ năm (Trích))</t>
    </r>
  </si>
  <si>
    <r>
      <t xml:space="preserve">Có tham gia gói theo thông tư 32 </t>
    </r>
    <r>
      <rPr>
        <b/>
        <sz val="11"/>
        <color rgb="FFFF0000"/>
        <rFont val="Calibri"/>
        <family val="2"/>
        <scheme val="minor"/>
      </rPr>
      <t>(Có, Ngân sách 400.000/ năm (Trích trước ))</t>
    </r>
  </si>
  <si>
    <t xml:space="preserve">                                  Quản lý tăng phụ cấp trách nhiệm từ 500.000 lên 1.000.000 từ 1/07/2026</t>
  </si>
  <si>
    <t>Nội dung thay đổi : Tăng lương cơ bản từ 6.153.700 lên 6.300.000 từ 1/07 /2026</t>
  </si>
  <si>
    <t>- Nhân viên tham gia công đoàn  đóng 23.400 đ/ tháng và hưởng chế độ phúc lợi của Công Đoàn theo bảng phúc lợi .</t>
  </si>
  <si>
    <r>
      <t>-</t>
    </r>
    <r>
      <rPr>
        <sz val="12"/>
        <rFont val="Calibri"/>
        <family val="2"/>
        <scheme val="minor"/>
      </rPr>
      <t xml:space="preserve"> Một tháng làm việc  được hưởng 1 ngày phép năm, Phép năm được tính từ ngày vào làm
</t>
    </r>
    <r>
      <rPr>
        <sz val="12"/>
        <color theme="1"/>
        <rFont val="Calibri"/>
        <family val="2"/>
        <scheme val="minor"/>
      </rPr>
      <t xml:space="preserve">Ghi chú: </t>
    </r>
    <r>
      <rPr>
        <sz val="12"/>
        <rFont val="Calibri"/>
        <family val="2"/>
        <scheme val="minor"/>
      </rPr>
      <t xml:space="preserve">Trường hợp còn phép năm Công ty sẽ trả tiền phép còn lại vào kỳ lương  </t>
    </r>
    <r>
      <rPr>
        <sz val="12"/>
        <color theme="1"/>
        <rFont val="Calibri"/>
        <family val="2"/>
        <scheme val="minor"/>
      </rPr>
      <t>(</t>
    </r>
    <r>
      <rPr>
        <sz val="12"/>
        <rFont val="Calibri"/>
        <family val="2"/>
        <scheme val="minor"/>
      </rPr>
      <t>phát chung với lương tháng 12</t>
    </r>
    <r>
      <rPr>
        <sz val="12"/>
        <color theme="1"/>
        <rFont val="Calibri"/>
        <family val="2"/>
        <scheme val="minor"/>
      </rPr>
      <t>)</t>
    </r>
    <r>
      <rPr>
        <sz val="12"/>
        <rFont val="Calibri"/>
        <family val="2"/>
        <scheme val="minor"/>
      </rPr>
      <t xml:space="preserve"> hoặc trả kỳ lương cuối khi nghỉ việc.</t>
    </r>
    <r>
      <rPr>
        <sz val="12"/>
        <color theme="1"/>
        <rFont val="Calibri"/>
        <family val="2"/>
        <scheme val="minor"/>
      </rPr>
      <t xml:space="preserve"> ( trích trước)
- Quy định tính ngày phép năm trong tháng:
* Làm việc ≥ 12 ngày: Tính 01 ngày phép.
*Làm việc &lt; 12 ngày: Không tính phép</t>
    </r>
  </si>
  <si>
    <t>Lương 1 giờ = Lương cơ bản/ 208 giờ đây là số cố định không thay đổi khi ngày trong tháng thay đổi</t>
  </si>
  <si>
    <t>Ăn tại nhà máy - khách hàng cung cấp</t>
  </si>
  <si>
    <t>- Chỉ áp dụng cho Trưởng ca mức hưởng theo hợp đồng (hàng tháng dự án gửi đánh giá)
Nếu làm &gt;= ngày công chuẩn ngày được hưởng trọn, 
 - còn lại, thưởng  /ngày công chuẩn * số ngày làm việc</t>
  </si>
  <si>
    <t>Chốt công 31/12 của năm tính thưởng: 
 Thưởng tết = Lương cơ bản/tổng ngày trong năm * số ngày ngày làm việc trong năm
Ghi chú: Áp dụng cho nhân viên còn làm việc đến ngày phát thưởng, trường hợp nhân viên nghỉ việc, quay lại làm thì tính ngày vào mới nhất. ( không trích khách hàng trả tại thời điểm phát sinh)
Trong đó, số ngày làm việc trong năm được tính như sau:
* với nhân viên vào làm trước 1/1 năm đó = tông ngày trong năm (365 hoặc 366)
* Với nhân viên vào làm sau 1/1 cách tính= ngày 31/12-ngày vào làm việc</t>
  </si>
  <si>
    <t>Theo mã báo giá SWM-DN-BG-DV1-2026-V01
HÌNH THỨC HĐLĐ 02</t>
  </si>
  <si>
    <t>MÃ SỐ: PKT.QC26V02
NGÀY BAN HÀNH: 01/04/2024
NGÀY ÁP DỤNG: 01/07/2026
SỐ TRANG: 03/03</t>
  </si>
  <si>
    <t>Không áp dụng</t>
  </si>
  <si>
    <t>Mã 278 SWM-DN-2026-V02, áp dụng ngày  01/07/2026 Theo mã báo giá:  SWM-DN-BG-DV1-2026-V01</t>
  </si>
  <si>
    <r>
      <t xml:space="preserve">1. Ngày Khách hàng Thanh toán: 30 ngày
</t>
    </r>
    <r>
      <rPr>
        <b/>
        <sz val="11"/>
        <color rgb="FFFF0000"/>
        <rFont val="Calibri"/>
        <family val="2"/>
        <scheme val="minor"/>
      </rPr>
      <t>2. Không  phải chờ khách hàng thanh toán mới thanh toán lương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</si>
</sst>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_);_(* \(#,##0\);_(* &quot;-&quot;_);_(@_)"/>
    <numFmt numFmtId="165" formatCode="_(* #,##0.00_);_(* \(#,##0.00\);_(* &quot;-&quot;??_);_(@_)"/>
    <numFmt numFmtId="166" formatCode="_ * #,##0.00_)_đ_ ;_ * \(#,##0.00\)_đ_ ;_ * &quot;-&quot;??_)_đ_ ;_ @_ "/>
    <numFmt numFmtId="167" formatCode="_ * #,##0_)_đ_ ;_ * \(#,##0\)_đ_ ;_ * &quot;-&quot;??_)_đ_ ;_ @_ "/>
    <numFmt numFmtId="168" formatCode="_(* #,##0_);_(* \(#,##0\);_(* &quot;-&quot;??_);_(@_)"/>
    <numFmt numFmtId="169" formatCode="_ * #,##0.0_)_đ_ ;_ * \(#,##0.0\)_đ_ ;_ * &quot;-&quot;??_)_đ_ ;_ @_ "/>
    <numFmt numFmtId="170" formatCode="_(* #,##0.0_);_(* \(#,##0.0\);_(* &quot;-&quot;?_);_(@_)"/>
    <numFmt numFmtId="171" formatCode="_ * #,##0_ ;_ * \-#,##0_ ;_ * &quot;-&quot;_ ;_ @_ "/>
    <numFmt numFmtId="172" formatCode="_-* #,##0_-;\-* #,##0_-;_-* &quot;-&quot;??_-;_-@_-"/>
    <numFmt numFmtId="173" formatCode="_-* #,##0.00\ _₫_-;\-* #,##0.00\ _₫_-;_-* &quot;-&quot;??\ _₫_-;_-@_-"/>
    <numFmt numFmtId="174" formatCode="_-* #,##0.0\ _₫_-;\-* #,##0.0\ _₫_-;_-* &quot;-&quot;?\ _₫_-;_-@"/>
    <numFmt numFmtId="175" formatCode="00000"/>
  </numFmts>
  <fonts count="68" x14ac:knownFonts="1">
    <font>
      <sz val="11"/>
      <color theme="1"/>
      <name val="Calibri"/>
      <family val="2"/>
      <scheme val="minor"/>
    </font>
    <font>
      <sz val="14"/>
      <color theme="1"/>
      <name val="Times New Roman"/>
      <family val="1"/>
    </font>
    <font>
      <b/>
      <sz val="11"/>
      <color theme="1"/>
      <name val="Times New Roman"/>
      <family val="1"/>
    </font>
    <font>
      <sz val="11"/>
      <color theme="1"/>
      <name val="Times New Roman"/>
      <family val="2"/>
    </font>
    <font>
      <sz val="12"/>
      <color theme="1"/>
      <name val="Times New Roman"/>
      <family val="1"/>
    </font>
    <font>
      <sz val="10"/>
      <name val="Arial"/>
      <family val="2"/>
    </font>
    <font>
      <sz val="11"/>
      <color theme="1"/>
      <name val="Calibri"/>
      <family val="2"/>
      <scheme val="minor"/>
    </font>
    <font>
      <b/>
      <sz val="12"/>
      <name val="Times New Roman"/>
      <family val="1"/>
    </font>
    <font>
      <sz val="10"/>
      <name val="Arial"/>
      <family val="2"/>
      <charset val="163"/>
    </font>
    <font>
      <sz val="12"/>
      <name val="Times New Roman"/>
      <family val="1"/>
    </font>
    <font>
      <sz val="10"/>
      <name val="Times New Roman"/>
      <family val="1"/>
    </font>
    <font>
      <b/>
      <sz val="10"/>
      <color rgb="FF000000"/>
      <name val="Times New Roman"/>
      <family val="1"/>
    </font>
    <font>
      <sz val="15"/>
      <color rgb="FFFF0000"/>
      <name val="Times New Roman"/>
      <family val="1"/>
    </font>
    <font>
      <b/>
      <sz val="15"/>
      <color rgb="FF000000"/>
      <name val="Times New Roman"/>
      <family val="1"/>
    </font>
    <font>
      <b/>
      <sz val="18"/>
      <name val="Times New Roman"/>
      <family val="1"/>
    </font>
    <font>
      <sz val="9"/>
      <color indexed="81"/>
      <name val="Tahoma"/>
      <family val="2"/>
    </font>
    <font>
      <b/>
      <sz val="9"/>
      <color indexed="81"/>
      <name val="Tahoma"/>
      <family val="2"/>
    </font>
    <font>
      <sz val="10"/>
      <color theme="0"/>
      <name val="Times New Roman"/>
      <family val="1"/>
    </font>
    <font>
      <sz val="11"/>
      <color theme="1"/>
      <name val="Times New Roman"/>
      <family val="1"/>
    </font>
    <font>
      <sz val="11"/>
      <color rgb="FFFF0000"/>
      <name val="Times New Roman"/>
      <family val="1"/>
    </font>
    <font>
      <sz val="11"/>
      <name val="Times New Roman"/>
      <family val="1"/>
    </font>
    <font>
      <sz val="10"/>
      <color rgb="FFFF0000"/>
      <name val="Times New Roman"/>
      <family val="1"/>
    </font>
    <font>
      <sz val="12"/>
      <color rgb="FFFF0000"/>
      <name val="Times New Roman"/>
      <family val="1"/>
    </font>
    <font>
      <sz val="13"/>
      <color theme="1"/>
      <name val="Times New Roman"/>
      <family val="1"/>
    </font>
    <font>
      <b/>
      <sz val="11"/>
      <color theme="1"/>
      <name val="Calibri"/>
      <family val="2"/>
      <scheme val="minor"/>
    </font>
    <font>
      <b/>
      <sz val="10"/>
      <name val="Arial"/>
      <family val="2"/>
    </font>
    <font>
      <b/>
      <sz val="14"/>
      <color theme="1"/>
      <name val="Times New Roman"/>
      <family val="1"/>
    </font>
    <font>
      <i/>
      <sz val="12"/>
      <name val="Times New Roman"/>
      <family val="1"/>
    </font>
    <font>
      <sz val="11"/>
      <name val="Arial"/>
      <family val="2"/>
    </font>
    <font>
      <sz val="11"/>
      <color theme="1"/>
      <name val="Calibri"/>
      <family val="2"/>
      <charset val="163"/>
      <scheme val="minor"/>
    </font>
    <font>
      <sz val="12"/>
      <color theme="1"/>
      <name val="Tahoma"/>
      <family val="2"/>
    </font>
    <font>
      <b/>
      <sz val="24"/>
      <color theme="1"/>
      <name val="Tahoma"/>
      <family val="2"/>
    </font>
    <font>
      <b/>
      <sz val="12"/>
      <color theme="1"/>
      <name val="Tahoma"/>
      <family val="2"/>
    </font>
    <font>
      <b/>
      <u/>
      <sz val="12"/>
      <color theme="1"/>
      <name val="Tahoma"/>
      <family val="2"/>
    </font>
    <font>
      <b/>
      <sz val="12"/>
      <color rgb="FF0070C0"/>
      <name val="Tahoma"/>
      <family val="2"/>
    </font>
    <font>
      <b/>
      <sz val="12"/>
      <name val="Tahoma"/>
      <family val="2"/>
    </font>
    <font>
      <b/>
      <i/>
      <sz val="12"/>
      <color rgb="FF1E4E79"/>
      <name val="Tahoma"/>
      <family val="2"/>
    </font>
    <font>
      <i/>
      <sz val="12"/>
      <color rgb="FF0070C0"/>
      <name val="Tahoma"/>
      <family val="2"/>
    </font>
    <font>
      <sz val="12"/>
      <name val="Tahoma"/>
      <family val="2"/>
    </font>
    <font>
      <sz val="12"/>
      <color rgb="FF000000"/>
      <name val="Tahoma"/>
      <family val="2"/>
    </font>
    <font>
      <sz val="12"/>
      <color rgb="FFFF0000"/>
      <name val="Tahoma"/>
      <family val="2"/>
      <charset val="163"/>
    </font>
    <font>
      <i/>
      <sz val="12"/>
      <color theme="4" tint="-0.249977111117893"/>
      <name val="Tahoma"/>
      <family val="2"/>
    </font>
    <font>
      <sz val="12"/>
      <color theme="4" tint="-0.249977111117893"/>
      <name val="Tahoma"/>
      <family val="2"/>
    </font>
    <font>
      <sz val="12"/>
      <color rgb="FFFF0000"/>
      <name val="Tahoma"/>
      <family val="2"/>
    </font>
    <font>
      <sz val="11"/>
      <color rgb="FFFF0000"/>
      <name val="Arial"/>
      <family val="2"/>
    </font>
    <font>
      <i/>
      <sz val="12"/>
      <color rgb="FF2E75B5"/>
      <name val="Tahoma"/>
      <family val="2"/>
    </font>
    <font>
      <sz val="12"/>
      <color rgb="FFC00000"/>
      <name val="Tahoma"/>
      <family val="2"/>
    </font>
    <font>
      <b/>
      <i/>
      <sz val="12"/>
      <color rgb="FF0070C0"/>
      <name val="Tahoma"/>
      <family val="2"/>
    </font>
    <font>
      <sz val="11"/>
      <color rgb="FFFF0000"/>
      <name val="Calibri"/>
      <family val="2"/>
      <scheme val="minor"/>
    </font>
    <font>
      <sz val="10"/>
      <name val="Calibri"/>
      <family val="2"/>
      <scheme val="minor"/>
    </font>
    <font>
      <sz val="12"/>
      <color theme="1"/>
      <name val="Calibri"/>
      <family val="2"/>
      <scheme val="minor"/>
    </font>
    <font>
      <b/>
      <sz val="12"/>
      <name val="Calibri"/>
      <family val="2"/>
      <scheme val="minor"/>
    </font>
    <font>
      <b/>
      <sz val="20"/>
      <name val="Calibri"/>
      <family val="2"/>
      <scheme val="minor"/>
    </font>
    <font>
      <sz val="12"/>
      <name val="Calibri"/>
      <family val="2"/>
      <scheme val="minor"/>
    </font>
    <font>
      <b/>
      <sz val="26"/>
      <name val="Calibri"/>
      <family val="2"/>
      <scheme val="minor"/>
    </font>
    <font>
      <b/>
      <sz val="18"/>
      <name val="Calibri"/>
      <family val="2"/>
      <scheme val="minor"/>
    </font>
    <font>
      <b/>
      <sz val="12"/>
      <color rgb="FF000000"/>
      <name val="Times New Roman"/>
      <family val="1"/>
    </font>
    <font>
      <sz val="10"/>
      <color theme="1"/>
      <name val="Calibri"/>
      <family val="2"/>
      <scheme val="minor"/>
    </font>
    <font>
      <sz val="11"/>
      <name val="Calibri"/>
      <family val="2"/>
      <scheme val="minor"/>
    </font>
    <font>
      <b/>
      <sz val="11"/>
      <color rgb="FFFF0000"/>
      <name val="Calibri"/>
      <family val="2"/>
      <scheme val="minor"/>
    </font>
    <font>
      <sz val="12"/>
      <color rgb="FFFF0000"/>
      <name val="Calibri"/>
      <family val="2"/>
      <scheme val="minor"/>
    </font>
    <font>
      <b/>
      <sz val="11"/>
      <color theme="1"/>
      <name val="Arial"/>
      <family val="2"/>
    </font>
    <font>
      <sz val="11"/>
      <color theme="1"/>
      <name val="Arial"/>
      <family val="2"/>
    </font>
    <font>
      <b/>
      <sz val="11"/>
      <color rgb="FFFF0000"/>
      <name val="Arial"/>
      <family val="2"/>
    </font>
    <font>
      <b/>
      <u/>
      <sz val="11"/>
      <color theme="1"/>
      <name val="Arial"/>
      <family val="2"/>
    </font>
    <font>
      <sz val="13"/>
      <color theme="1"/>
      <name val="Calibri"/>
      <family val="2"/>
      <scheme val="minor"/>
    </font>
    <font>
      <sz val="15"/>
      <color rgb="FFFF0000"/>
      <name val="Calibri"/>
      <family val="2"/>
      <scheme val="minor"/>
    </font>
    <font>
      <sz val="20"/>
      <color rgb="FF081C36"/>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theme="0"/>
      </patternFill>
    </fill>
    <fill>
      <patternFill patternType="solid">
        <fgColor rgb="FFBFBFBF"/>
        <bgColor rgb="FFBFBFBF"/>
      </patternFill>
    </fill>
    <fill>
      <patternFill patternType="solid">
        <fgColor rgb="FFC5E0B3"/>
        <bgColor rgb="FFC5E0B3"/>
      </patternFill>
    </fill>
    <fill>
      <patternFill patternType="solid">
        <fgColor theme="9" tint="0.59999389629810485"/>
        <bgColor rgb="FFDADADA"/>
      </patternFill>
    </fill>
    <fill>
      <patternFill patternType="solid">
        <fgColor theme="9" tint="0.59999389629810485"/>
        <bgColor rgb="FFC5E0B3"/>
      </patternFill>
    </fill>
    <fill>
      <patternFill patternType="solid">
        <fgColor rgb="FF00FFFF"/>
        <bgColor indexed="64"/>
      </patternFill>
    </fill>
  </fills>
  <borders count="4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diagonalUp="1" diagonalDown="1">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s>
  <cellStyleXfs count="15">
    <xf numFmtId="0" fontId="0" fillId="0" borderId="0"/>
    <xf numFmtId="166" fontId="3" fillId="0" borderId="0" applyFont="0" applyFill="0" applyBorder="0" applyAlignment="0" applyProtection="0"/>
    <xf numFmtId="0" fontId="5" fillId="0" borderId="0"/>
    <xf numFmtId="166" fontId="3" fillId="0" borderId="0" applyFont="0" applyFill="0" applyBorder="0" applyAlignment="0" applyProtection="0"/>
    <xf numFmtId="165"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5" fillId="0" borderId="3" quotePrefix="1">
      <alignment horizontal="justify" vertical="justify" textRotation="127" wrapText="1" justifyLastLine="1"/>
      <protection hidden="1"/>
    </xf>
    <xf numFmtId="165" fontId="6" fillId="0" borderId="0" applyFont="0" applyFill="0" applyBorder="0" applyAlignment="0" applyProtection="0"/>
    <xf numFmtId="165" fontId="5" fillId="0" borderId="0" applyFont="0" applyFill="0" applyBorder="0" applyAlignment="0" applyProtection="0"/>
    <xf numFmtId="171" fontId="8" fillId="0" borderId="0" applyFont="0" applyFill="0" applyBorder="0" applyAlignment="0" applyProtection="0"/>
    <xf numFmtId="165" fontId="8" fillId="0" borderId="0" applyFont="0" applyFill="0" applyBorder="0" applyAlignment="0" applyProtection="0"/>
    <xf numFmtId="173" fontId="29" fillId="0" borderId="0" applyFont="0" applyFill="0" applyBorder="0" applyAlignment="0" applyProtection="0"/>
    <xf numFmtId="9" fontId="6" fillId="0" borderId="0" applyFont="0" applyFill="0" applyBorder="0" applyAlignment="0" applyProtection="0"/>
    <xf numFmtId="0" fontId="6" fillId="0" borderId="0"/>
  </cellStyleXfs>
  <cellXfs count="312">
    <xf numFmtId="0" fontId="0" fillId="0" borderId="0" xfId="0"/>
    <xf numFmtId="0" fontId="1" fillId="0" borderId="0" xfId="0" applyFont="1" applyAlignment="1">
      <alignment horizontal="left" vertical="center" indent="5"/>
    </xf>
    <xf numFmtId="0" fontId="2" fillId="0" borderId="2" xfId="0" applyFont="1" applyBorder="1" applyAlignment="1">
      <alignment vertical="center"/>
    </xf>
    <xf numFmtId="0" fontId="2" fillId="0" borderId="2" xfId="0" applyFont="1" applyBorder="1" applyAlignment="1">
      <alignment horizontal="center" vertical="center"/>
    </xf>
    <xf numFmtId="0" fontId="10" fillId="0" borderId="0" xfId="0" applyFont="1"/>
    <xf numFmtId="0" fontId="11" fillId="2" borderId="2" xfId="0" applyFont="1" applyFill="1" applyBorder="1" applyAlignment="1">
      <alignment horizontal="center" vertical="center" readingOrder="1"/>
    </xf>
    <xf numFmtId="0" fontId="10" fillId="0" borderId="0" xfId="0" applyFont="1" applyAlignment="1">
      <alignment vertical="center"/>
    </xf>
    <xf numFmtId="0" fontId="12" fillId="0" borderId="0" xfId="0" applyFont="1" applyAlignment="1">
      <alignment vertical="center"/>
    </xf>
    <xf numFmtId="168" fontId="10" fillId="0" borderId="0" xfId="4" applyNumberFormat="1" applyFont="1" applyAlignment="1">
      <alignment vertical="center"/>
    </xf>
    <xf numFmtId="0" fontId="11" fillId="2" borderId="2" xfId="0" applyFont="1" applyFill="1" applyBorder="1" applyAlignment="1">
      <alignment horizontal="center" vertical="center" wrapText="1" readingOrder="1"/>
    </xf>
    <xf numFmtId="0" fontId="10" fillId="0" borderId="0" xfId="0" applyFont="1" applyAlignment="1">
      <alignment horizontal="center"/>
    </xf>
    <xf numFmtId="167" fontId="10" fillId="0" borderId="0" xfId="0" applyNumberFormat="1" applyFont="1" applyAlignment="1">
      <alignment horizontal="center"/>
    </xf>
    <xf numFmtId="0" fontId="9" fillId="0" borderId="0" xfId="0" applyFont="1"/>
    <xf numFmtId="0" fontId="9" fillId="0" borderId="2" xfId="0" applyFont="1" applyBorder="1" applyAlignment="1">
      <alignment wrapText="1"/>
    </xf>
    <xf numFmtId="0" fontId="9" fillId="2" borderId="2" xfId="0" applyFont="1" applyFill="1" applyBorder="1" applyAlignment="1">
      <alignment wrapText="1"/>
    </xf>
    <xf numFmtId="0" fontId="9" fillId="0" borderId="2" xfId="2" applyFont="1" applyBorder="1" applyAlignment="1">
      <alignment wrapText="1"/>
    </xf>
    <xf numFmtId="0" fontId="17" fillId="0" borderId="0" xfId="0" applyFont="1" applyAlignment="1">
      <alignment horizontal="center"/>
    </xf>
    <xf numFmtId="168" fontId="17" fillId="0" borderId="0" xfId="4" applyNumberFormat="1" applyFont="1" applyAlignment="1">
      <alignment horizontal="center"/>
    </xf>
    <xf numFmtId="167" fontId="17" fillId="0" borderId="0" xfId="0" applyNumberFormat="1" applyFont="1" applyAlignment="1">
      <alignment horizontal="center"/>
    </xf>
    <xf numFmtId="168" fontId="17" fillId="0" borderId="0" xfId="0" applyNumberFormat="1" applyFont="1" applyAlignment="1">
      <alignment horizontal="center"/>
    </xf>
    <xf numFmtId="0" fontId="18" fillId="0" borderId="2" xfId="0" applyFont="1" applyBorder="1" applyAlignment="1">
      <alignment wrapText="1"/>
    </xf>
    <xf numFmtId="0" fontId="18" fillId="2" borderId="2" xfId="0" applyFont="1" applyFill="1" applyBorder="1" applyAlignment="1">
      <alignment wrapText="1"/>
    </xf>
    <xf numFmtId="0" fontId="18" fillId="2" borderId="2" xfId="0" applyFont="1" applyFill="1" applyBorder="1"/>
    <xf numFmtId="0" fontId="20" fillId="2" borderId="2" xfId="0" applyFont="1" applyFill="1" applyBorder="1" applyAlignment="1">
      <alignment wrapText="1"/>
    </xf>
    <xf numFmtId="169" fontId="18" fillId="2" borderId="2" xfId="3" applyNumberFormat="1" applyFont="1" applyFill="1" applyBorder="1" applyAlignment="1"/>
    <xf numFmtId="0" fontId="2" fillId="2" borderId="0" xfId="0" applyFont="1" applyFill="1"/>
    <xf numFmtId="168" fontId="21" fillId="0" borderId="0" xfId="0" applyNumberFormat="1" applyFont="1" applyAlignment="1">
      <alignment horizontal="center"/>
    </xf>
    <xf numFmtId="0" fontId="21" fillId="0" borderId="0" xfId="0" applyFont="1" applyAlignment="1">
      <alignment horizontal="center"/>
    </xf>
    <xf numFmtId="0" fontId="14" fillId="0" borderId="1" xfId="0" applyFont="1" applyBorder="1" applyAlignment="1">
      <alignment horizontal="left"/>
    </xf>
    <xf numFmtId="168" fontId="7" fillId="0" borderId="1" xfId="4" applyNumberFormat="1" applyFont="1" applyBorder="1" applyAlignment="1">
      <alignment horizontal="left"/>
    </xf>
    <xf numFmtId="168" fontId="7" fillId="0" borderId="1" xfId="0" applyNumberFormat="1" applyFont="1" applyBorder="1" applyAlignment="1">
      <alignment horizontal="left"/>
    </xf>
    <xf numFmtId="0" fontId="0" fillId="2" borderId="2" xfId="0" applyFill="1" applyBorder="1" applyAlignment="1">
      <alignment wrapText="1"/>
    </xf>
    <xf numFmtId="0" fontId="9" fillId="0" borderId="2" xfId="0" applyFont="1" applyBorder="1" applyAlignment="1">
      <alignment horizontal="center"/>
    </xf>
    <xf numFmtId="0" fontId="9" fillId="0" borderId="2" xfId="0" applyFont="1" applyBorder="1"/>
    <xf numFmtId="167" fontId="9" fillId="0" borderId="2" xfId="1" applyNumberFormat="1" applyFont="1" applyBorder="1" applyAlignment="1">
      <alignment horizontal="center" wrapText="1"/>
    </xf>
    <xf numFmtId="165" fontId="9" fillId="0" borderId="0" xfId="0" applyNumberFormat="1" applyFont="1"/>
    <xf numFmtId="168" fontId="9" fillId="0" borderId="0" xfId="4" applyNumberFormat="1" applyFont="1" applyAlignment="1"/>
    <xf numFmtId="168" fontId="9" fillId="0" borderId="2" xfId="0" applyNumberFormat="1" applyFont="1" applyBorder="1" applyAlignment="1">
      <alignment horizontal="center"/>
    </xf>
    <xf numFmtId="168" fontId="9" fillId="0" borderId="2" xfId="4" applyNumberFormat="1" applyFont="1" applyBorder="1" applyAlignment="1">
      <alignment horizontal="center"/>
    </xf>
    <xf numFmtId="0" fontId="9" fillId="2" borderId="2" xfId="0" applyFont="1" applyFill="1" applyBorder="1"/>
    <xf numFmtId="167" fontId="9" fillId="0" borderId="2" xfId="1" applyNumberFormat="1" applyFont="1" applyBorder="1" applyAlignment="1">
      <alignment horizontal="center"/>
    </xf>
    <xf numFmtId="0" fontId="9" fillId="0" borderId="2" xfId="2" applyFont="1" applyBorder="1" applyAlignment="1">
      <alignment horizontal="left"/>
    </xf>
    <xf numFmtId="167" fontId="9" fillId="0" borderId="2" xfId="3" applyNumberFormat="1" applyFont="1" applyBorder="1" applyAlignment="1">
      <alignment horizontal="center"/>
    </xf>
    <xf numFmtId="0" fontId="9" fillId="0" borderId="2" xfId="2" applyFont="1" applyBorder="1"/>
    <xf numFmtId="0" fontId="9" fillId="0" borderId="2" xfId="2" quotePrefix="1" applyFont="1" applyBorder="1" applyAlignment="1">
      <alignment wrapText="1"/>
    </xf>
    <xf numFmtId="168" fontId="9" fillId="0" borderId="2" xfId="4" applyNumberFormat="1" applyFont="1" applyFill="1" applyBorder="1" applyAlignment="1">
      <alignment wrapText="1"/>
    </xf>
    <xf numFmtId="168" fontId="7" fillId="0" borderId="2" xfId="4" applyNumberFormat="1" applyFont="1" applyFill="1" applyBorder="1" applyAlignment="1">
      <alignment horizontal="center"/>
    </xf>
    <xf numFmtId="168" fontId="9" fillId="0" borderId="2" xfId="4" applyNumberFormat="1" applyFont="1" applyFill="1" applyBorder="1" applyAlignment="1"/>
    <xf numFmtId="168" fontId="9" fillId="0" borderId="0" xfId="0" applyNumberFormat="1" applyFont="1"/>
    <xf numFmtId="168" fontId="9" fillId="0" borderId="2" xfId="4" applyNumberFormat="1" applyFont="1" applyFill="1" applyBorder="1" applyAlignment="1">
      <alignment horizontal="left" wrapText="1"/>
    </xf>
    <xf numFmtId="167" fontId="9" fillId="2" borderId="2" xfId="1" applyNumberFormat="1" applyFont="1" applyFill="1" applyBorder="1" applyAlignment="1">
      <alignment horizontal="center"/>
    </xf>
    <xf numFmtId="0" fontId="9" fillId="0" borderId="2" xfId="0" applyFont="1" applyBorder="1" applyAlignment="1">
      <alignment horizontal="left"/>
    </xf>
    <xf numFmtId="0" fontId="9" fillId="0" borderId="2" xfId="0" applyFont="1" applyBorder="1" applyAlignment="1">
      <alignment horizontal="left" wrapText="1"/>
    </xf>
    <xf numFmtId="0" fontId="9" fillId="0" borderId="0" xfId="0" applyFont="1" applyAlignment="1">
      <alignment horizontal="left"/>
    </xf>
    <xf numFmtId="167" fontId="9" fillId="2" borderId="2" xfId="1" applyNumberFormat="1" applyFont="1" applyFill="1" applyBorder="1" applyAlignment="1">
      <alignment horizontal="center" wrapText="1"/>
    </xf>
    <xf numFmtId="167" fontId="9" fillId="0" borderId="2" xfId="3" applyNumberFormat="1" applyFont="1" applyBorder="1" applyAlignment="1">
      <alignment horizontal="center" wrapText="1"/>
    </xf>
    <xf numFmtId="167" fontId="18" fillId="2" borderId="2" xfId="3" quotePrefix="1" applyNumberFormat="1" applyFont="1" applyFill="1" applyBorder="1" applyAlignment="1">
      <alignment wrapText="1"/>
    </xf>
    <xf numFmtId="167" fontId="9" fillId="0" borderId="2" xfId="1" applyNumberFormat="1" applyFont="1" applyFill="1" applyBorder="1" applyAlignment="1">
      <alignment horizontal="center" wrapText="1"/>
    </xf>
    <xf numFmtId="0" fontId="2" fillId="2" borderId="0" xfId="0" applyFont="1" applyFill="1" applyAlignment="1">
      <alignment horizontal="right"/>
    </xf>
    <xf numFmtId="167" fontId="9" fillId="0" borderId="4" xfId="3" applyNumberFormat="1" applyFont="1" applyBorder="1" applyAlignment="1">
      <alignment horizontal="center" vertical="center"/>
    </xf>
    <xf numFmtId="0" fontId="18" fillId="2" borderId="4" xfId="0" applyFont="1" applyFill="1" applyBorder="1" applyAlignment="1">
      <alignment wrapText="1"/>
    </xf>
    <xf numFmtId="0" fontId="9" fillId="0" borderId="5" xfId="0" applyFont="1" applyBorder="1" applyAlignment="1">
      <alignment horizontal="center"/>
    </xf>
    <xf numFmtId="0" fontId="18" fillId="2" borderId="5" xfId="0" applyFont="1" applyFill="1" applyBorder="1"/>
    <xf numFmtId="167" fontId="9" fillId="0" borderId="5" xfId="3" applyNumberFormat="1" applyFont="1" applyBorder="1" applyAlignment="1">
      <alignment horizontal="center"/>
    </xf>
    <xf numFmtId="0" fontId="18" fillId="2" borderId="5" xfId="0" applyFont="1" applyFill="1" applyBorder="1" applyAlignment="1">
      <alignment wrapText="1"/>
    </xf>
    <xf numFmtId="0" fontId="9" fillId="0" borderId="4" xfId="0" applyFont="1" applyBorder="1"/>
    <xf numFmtId="0" fontId="9" fillId="0" borderId="4" xfId="0" applyFont="1" applyBorder="1" applyAlignment="1">
      <alignment horizontal="center" vertical="center"/>
    </xf>
    <xf numFmtId="0" fontId="9" fillId="0" borderId="4" xfId="0" applyFont="1" applyBorder="1" applyAlignment="1">
      <alignment vertical="center"/>
    </xf>
    <xf numFmtId="167" fontId="9" fillId="0" borderId="4" xfId="3" applyNumberFormat="1" applyFont="1" applyBorder="1" applyAlignment="1">
      <alignment horizontal="center" vertical="center" wrapText="1"/>
    </xf>
    <xf numFmtId="0" fontId="11" fillId="3" borderId="2" xfId="0" applyFont="1" applyFill="1" applyBorder="1" applyAlignment="1">
      <alignment horizontal="center" vertical="center" wrapText="1" readingOrder="1"/>
    </xf>
    <xf numFmtId="167" fontId="9" fillId="3" borderId="0" xfId="0" applyNumberFormat="1" applyFont="1" applyFill="1"/>
    <xf numFmtId="0" fontId="4" fillId="0" borderId="0" xfId="0" applyFont="1" applyAlignment="1">
      <alignment wrapText="1"/>
    </xf>
    <xf numFmtId="167" fontId="14" fillId="0" borderId="1" xfId="0" applyNumberFormat="1" applyFont="1" applyBorder="1" applyAlignment="1">
      <alignment horizontal="left"/>
    </xf>
    <xf numFmtId="167" fontId="10" fillId="0" borderId="0" xfId="0" applyNumberFormat="1" applyFont="1"/>
    <xf numFmtId="170" fontId="9" fillId="0" borderId="0" xfId="0" applyNumberFormat="1" applyFont="1"/>
    <xf numFmtId="167" fontId="9" fillId="0" borderId="2" xfId="0" applyNumberFormat="1" applyFont="1" applyBorder="1" applyAlignment="1">
      <alignment horizontal="center"/>
    </xf>
    <xf numFmtId="0" fontId="11" fillId="0" borderId="2" xfId="0" applyFont="1" applyBorder="1" applyAlignment="1">
      <alignment horizontal="center" vertical="center" wrapText="1" readingOrder="1"/>
    </xf>
    <xf numFmtId="0" fontId="4" fillId="2" borderId="2" xfId="0" applyFont="1" applyFill="1" applyBorder="1" applyAlignment="1">
      <alignment wrapText="1"/>
    </xf>
    <xf numFmtId="0" fontId="7" fillId="0" borderId="0" xfId="0" applyFont="1"/>
    <xf numFmtId="0" fontId="14" fillId="0" borderId="2" xfId="0" applyFont="1" applyBorder="1" applyAlignment="1">
      <alignment horizontal="left"/>
    </xf>
    <xf numFmtId="0" fontId="7" fillId="0" borderId="2" xfId="0" applyFont="1" applyBorder="1" applyAlignment="1">
      <alignment horizontal="left"/>
    </xf>
    <xf numFmtId="168" fontId="7" fillId="0" borderId="2" xfId="4" applyNumberFormat="1" applyFont="1" applyBorder="1" applyAlignment="1">
      <alignment horizontal="left"/>
    </xf>
    <xf numFmtId="168" fontId="7" fillId="0" borderId="2" xfId="0" applyNumberFormat="1" applyFont="1" applyBorder="1" applyAlignment="1">
      <alignment horizontal="left"/>
    </xf>
    <xf numFmtId="167" fontId="14" fillId="0" borderId="2" xfId="0" applyNumberFormat="1" applyFont="1" applyBorder="1" applyAlignment="1">
      <alignment horizontal="left"/>
    </xf>
    <xf numFmtId="168" fontId="10" fillId="0" borderId="0" xfId="4" applyNumberFormat="1" applyFont="1" applyFill="1" applyAlignment="1">
      <alignment vertical="center"/>
    </xf>
    <xf numFmtId="168" fontId="9" fillId="0" borderId="0" xfId="4" applyNumberFormat="1" applyFont="1" applyFill="1" applyAlignment="1"/>
    <xf numFmtId="167" fontId="9" fillId="0" borderId="0" xfId="0" applyNumberFormat="1" applyFont="1"/>
    <xf numFmtId="0" fontId="23" fillId="0" borderId="0" xfId="0" applyFont="1" applyAlignment="1">
      <alignment wrapText="1"/>
    </xf>
    <xf numFmtId="0" fontId="2" fillId="3" borderId="2" xfId="0" applyFont="1" applyFill="1" applyBorder="1" applyAlignment="1">
      <alignment vertical="center"/>
    </xf>
    <xf numFmtId="0" fontId="2" fillId="3" borderId="2" xfId="0" applyFont="1" applyFill="1" applyBorder="1" applyAlignment="1">
      <alignment horizontal="center" vertical="center"/>
    </xf>
    <xf numFmtId="0" fontId="18" fillId="0" borderId="2" xfId="0" applyFont="1" applyBorder="1" applyAlignment="1">
      <alignment horizontal="center"/>
    </xf>
    <xf numFmtId="0" fontId="23" fillId="0" borderId="0" xfId="0" applyFont="1"/>
    <xf numFmtId="167" fontId="9" fillId="0" borderId="2" xfId="3" applyNumberFormat="1" applyFont="1" applyFill="1" applyBorder="1" applyAlignment="1">
      <alignment horizontal="center" wrapText="1"/>
    </xf>
    <xf numFmtId="167" fontId="9" fillId="0" borderId="2" xfId="3" applyNumberFormat="1" applyFont="1" applyFill="1" applyBorder="1" applyAlignment="1">
      <alignment horizontal="center"/>
    </xf>
    <xf numFmtId="0" fontId="23" fillId="0" borderId="2" xfId="0" applyFont="1" applyBorder="1" applyAlignment="1">
      <alignment wrapText="1"/>
    </xf>
    <xf numFmtId="0" fontId="0" fillId="0" borderId="0" xfId="0" applyAlignment="1">
      <alignment horizontal="center"/>
    </xf>
    <xf numFmtId="168" fontId="24" fillId="3" borderId="2" xfId="4" applyNumberFormat="1" applyFont="1" applyFill="1" applyBorder="1" applyAlignment="1">
      <alignment horizontal="center"/>
    </xf>
    <xf numFmtId="168" fontId="0" fillId="0" borderId="2" xfId="4" applyNumberFormat="1" applyFont="1" applyBorder="1"/>
    <xf numFmtId="0" fontId="0" fillId="0" borderId="2" xfId="0" applyBorder="1"/>
    <xf numFmtId="0" fontId="25" fillId="3" borderId="2" xfId="0" applyFont="1" applyFill="1" applyBorder="1"/>
    <xf numFmtId="0" fontId="25" fillId="3" borderId="2" xfId="0" applyFont="1" applyFill="1" applyBorder="1" applyAlignment="1">
      <alignment horizontal="center"/>
    </xf>
    <xf numFmtId="0" fontId="25" fillId="4" borderId="2" xfId="0" applyFont="1" applyFill="1" applyBorder="1" applyAlignment="1">
      <alignment horizontal="center"/>
    </xf>
    <xf numFmtId="0" fontId="5" fillId="0" borderId="2" xfId="0" applyFont="1" applyBorder="1"/>
    <xf numFmtId="168" fontId="5" fillId="0" borderId="2" xfId="9" applyNumberFormat="1" applyFont="1" applyBorder="1"/>
    <xf numFmtId="168" fontId="25" fillId="0" borderId="2" xfId="9" applyNumberFormat="1" applyFont="1" applyBorder="1"/>
    <xf numFmtId="168" fontId="0" fillId="0" borderId="2" xfId="9" applyNumberFormat="1" applyFont="1" applyBorder="1"/>
    <xf numFmtId="168" fontId="0" fillId="0" borderId="0" xfId="4" applyNumberFormat="1" applyFont="1"/>
    <xf numFmtId="165" fontId="0" fillId="0" borderId="0" xfId="0" applyNumberFormat="1"/>
    <xf numFmtId="0" fontId="9" fillId="3" borderId="2" xfId="0" applyFont="1" applyFill="1" applyBorder="1"/>
    <xf numFmtId="0" fontId="9" fillId="3" borderId="2" xfId="0" applyFont="1" applyFill="1" applyBorder="1" applyAlignment="1">
      <alignment horizontal="center"/>
    </xf>
    <xf numFmtId="0" fontId="18" fillId="3" borderId="2" xfId="0" applyFont="1" applyFill="1" applyBorder="1" applyAlignment="1">
      <alignment wrapText="1"/>
    </xf>
    <xf numFmtId="0" fontId="24" fillId="3" borderId="2" xfId="0" applyFont="1" applyFill="1" applyBorder="1" applyAlignment="1">
      <alignment horizontal="center"/>
    </xf>
    <xf numFmtId="0" fontId="27" fillId="0" borderId="0" xfId="0" applyFont="1" applyAlignment="1">
      <alignment vertical="center"/>
    </xf>
    <xf numFmtId="0" fontId="9" fillId="0" borderId="0" xfId="0" applyFont="1" applyAlignment="1">
      <alignment horizontal="center"/>
    </xf>
    <xf numFmtId="0" fontId="9" fillId="0" borderId="0" xfId="0" applyFont="1" applyAlignment="1">
      <alignment horizontal="right"/>
    </xf>
    <xf numFmtId="0" fontId="22" fillId="0" borderId="0" xfId="0" applyFont="1" applyAlignment="1">
      <alignment vertical="center"/>
    </xf>
    <xf numFmtId="0" fontId="11" fillId="3" borderId="2" xfId="0" applyFont="1" applyFill="1" applyBorder="1" applyAlignment="1">
      <alignment horizontal="center" vertical="center" readingOrder="1"/>
    </xf>
    <xf numFmtId="0" fontId="7" fillId="0" borderId="0" xfId="0" applyFont="1" applyAlignment="1"/>
    <xf numFmtId="168" fontId="10" fillId="0" borderId="0" xfId="0" applyNumberFormat="1" applyFont="1"/>
    <xf numFmtId="0" fontId="30" fillId="7" borderId="11" xfId="0" applyFont="1" applyFill="1" applyBorder="1"/>
    <xf numFmtId="0" fontId="30" fillId="7" borderId="12" xfId="0" applyFont="1" applyFill="1" applyBorder="1" applyAlignment="1">
      <alignment horizontal="center"/>
    </xf>
    <xf numFmtId="0" fontId="30" fillId="7" borderId="13" xfId="0" applyFont="1" applyFill="1" applyBorder="1"/>
    <xf numFmtId="0" fontId="30" fillId="8" borderId="0" xfId="0" applyFont="1" applyFill="1" applyBorder="1"/>
    <xf numFmtId="0" fontId="0" fillId="0" borderId="0" xfId="0" applyFont="1" applyAlignment="1"/>
    <xf numFmtId="0" fontId="30" fillId="7" borderId="14" xfId="0" applyFont="1" applyFill="1" applyBorder="1"/>
    <xf numFmtId="0" fontId="30" fillId="7" borderId="15" xfId="0" applyFont="1" applyFill="1" applyBorder="1"/>
    <xf numFmtId="0" fontId="32" fillId="7" borderId="0" xfId="0" applyFont="1" applyFill="1" applyBorder="1" applyAlignment="1">
      <alignment horizontal="center"/>
    </xf>
    <xf numFmtId="172" fontId="32" fillId="7" borderId="0" xfId="0" applyNumberFormat="1" applyFont="1" applyFill="1" applyBorder="1" applyAlignment="1">
      <alignment horizontal="center"/>
    </xf>
    <xf numFmtId="0" fontId="33" fillId="7" borderId="0" xfId="0" applyFont="1" applyFill="1" applyBorder="1" applyAlignment="1">
      <alignment vertical="center"/>
    </xf>
    <xf numFmtId="0" fontId="30" fillId="7" borderId="0" xfId="0" applyFont="1" applyFill="1" applyBorder="1" applyAlignment="1">
      <alignment wrapText="1"/>
    </xf>
    <xf numFmtId="0" fontId="34" fillId="7" borderId="0" xfId="0" applyFont="1" applyFill="1" applyBorder="1" applyAlignment="1">
      <alignment horizontal="center" vertical="center" wrapText="1"/>
    </xf>
    <xf numFmtId="172" fontId="35" fillId="7" borderId="2" xfId="4" applyNumberFormat="1" applyFont="1" applyFill="1" applyBorder="1" applyAlignment="1">
      <alignment horizontal="center" vertical="center" wrapText="1"/>
    </xf>
    <xf numFmtId="168" fontId="32" fillId="9" borderId="16" xfId="0" applyNumberFormat="1" applyFont="1" applyFill="1" applyBorder="1" applyAlignment="1">
      <alignment horizontal="center" vertical="center" wrapText="1"/>
    </xf>
    <xf numFmtId="9" fontId="32" fillId="9" borderId="17" xfId="0" applyNumberFormat="1" applyFont="1" applyFill="1" applyBorder="1" applyAlignment="1">
      <alignment horizontal="center" vertical="center" wrapText="1"/>
    </xf>
    <xf numFmtId="0" fontId="30" fillId="7" borderId="18" xfId="0" applyFont="1" applyFill="1" applyBorder="1" applyAlignment="1">
      <alignment horizontal="center" vertical="center" wrapText="1"/>
    </xf>
    <xf numFmtId="0" fontId="30" fillId="7" borderId="18" xfId="0" applyFont="1" applyFill="1" applyBorder="1" applyAlignment="1">
      <alignment horizontal="left" vertical="center" wrapText="1"/>
    </xf>
    <xf numFmtId="0" fontId="30" fillId="7" borderId="20" xfId="0" applyFont="1" applyFill="1" applyBorder="1" applyAlignment="1">
      <alignment horizontal="center" vertical="center" wrapText="1"/>
    </xf>
    <xf numFmtId="164" fontId="38" fillId="0" borderId="20" xfId="0" applyNumberFormat="1" applyFont="1" applyBorder="1" applyAlignment="1">
      <alignment vertical="center" wrapText="1"/>
    </xf>
    <xf numFmtId="164" fontId="30" fillId="0" borderId="18" xfId="0" applyNumberFormat="1" applyFont="1" applyBorder="1" applyAlignment="1">
      <alignment vertical="center" wrapText="1"/>
    </xf>
    <xf numFmtId="164" fontId="30" fillId="8" borderId="0" xfId="0" applyNumberFormat="1" applyFont="1" applyFill="1" applyBorder="1"/>
    <xf numFmtId="9" fontId="30" fillId="8" borderId="0" xfId="0" applyNumberFormat="1" applyFont="1" applyFill="1" applyBorder="1"/>
    <xf numFmtId="164" fontId="30" fillId="0" borderId="20" xfId="0" applyNumberFormat="1" applyFont="1" applyBorder="1" applyAlignment="1">
      <alignment vertical="center" wrapText="1"/>
    </xf>
    <xf numFmtId="172" fontId="32" fillId="9" borderId="16" xfId="4" applyNumberFormat="1" applyFont="1" applyFill="1" applyBorder="1" applyAlignment="1">
      <alignment horizontal="center" vertical="center" wrapText="1"/>
    </xf>
    <xf numFmtId="172" fontId="32" fillId="9" borderId="20" xfId="4" applyNumberFormat="1" applyFont="1" applyFill="1" applyBorder="1" applyAlignment="1">
      <alignment horizontal="center" vertical="center" wrapText="1"/>
    </xf>
    <xf numFmtId="164" fontId="38" fillId="0" borderId="18" xfId="0" applyNumberFormat="1" applyFont="1" applyBorder="1" applyAlignment="1">
      <alignment vertical="center" wrapText="1"/>
    </xf>
    <xf numFmtId="164" fontId="43" fillId="0" borderId="20" xfId="0" applyNumberFormat="1" applyFont="1" applyBorder="1" applyAlignment="1">
      <alignment vertical="center" wrapText="1"/>
    </xf>
    <xf numFmtId="168" fontId="38" fillId="0" borderId="20" xfId="0" applyNumberFormat="1" applyFont="1" applyBorder="1" applyAlignment="1">
      <alignment vertical="center" wrapText="1"/>
    </xf>
    <xf numFmtId="168" fontId="30" fillId="0" borderId="20" xfId="0" applyNumberFormat="1" applyFont="1" applyBorder="1" applyAlignment="1">
      <alignment vertical="center" wrapText="1"/>
    </xf>
    <xf numFmtId="168" fontId="43" fillId="0" borderId="20" xfId="0" applyNumberFormat="1" applyFont="1" applyBorder="1" applyAlignment="1">
      <alignment vertical="center" wrapText="1"/>
    </xf>
    <xf numFmtId="0" fontId="30" fillId="0" borderId="18" xfId="0" applyFont="1" applyBorder="1" applyAlignment="1">
      <alignment horizontal="left" vertical="center" wrapText="1"/>
    </xf>
    <xf numFmtId="0" fontId="30" fillId="0" borderId="18" xfId="0" applyFont="1" applyBorder="1" applyAlignment="1">
      <alignment horizontal="center" vertical="center" wrapText="1"/>
    </xf>
    <xf numFmtId="0" fontId="30" fillId="0" borderId="21" xfId="0" applyFont="1" applyBorder="1" applyAlignment="1">
      <alignment horizontal="center" vertical="center" wrapText="1"/>
    </xf>
    <xf numFmtId="0" fontId="30" fillId="7" borderId="21" xfId="0" applyFont="1" applyFill="1" applyBorder="1" applyAlignment="1">
      <alignment horizontal="left" vertical="center" wrapText="1"/>
    </xf>
    <xf numFmtId="0" fontId="30" fillId="7" borderId="16" xfId="0" applyFont="1" applyFill="1" applyBorder="1" applyAlignment="1">
      <alignment horizontal="center" vertical="center" wrapText="1"/>
    </xf>
    <xf numFmtId="172" fontId="30" fillId="0" borderId="16" xfId="4" applyNumberFormat="1" applyFont="1" applyBorder="1" applyAlignment="1">
      <alignment vertical="center" wrapText="1"/>
    </xf>
    <xf numFmtId="172" fontId="30" fillId="8" borderId="0" xfId="4" applyNumberFormat="1" applyFont="1" applyFill="1" applyBorder="1" applyAlignment="1">
      <alignment vertical="center"/>
    </xf>
    <xf numFmtId="172" fontId="35" fillId="9" borderId="20" xfId="4" applyNumberFormat="1" applyFont="1" applyFill="1" applyBorder="1" applyAlignment="1">
      <alignment horizontal="center" vertical="center" wrapText="1"/>
    </xf>
    <xf numFmtId="0" fontId="32" fillId="10" borderId="2" xfId="0" applyFont="1" applyFill="1" applyBorder="1" applyAlignment="1">
      <alignment horizontal="center" vertical="center" wrapText="1"/>
    </xf>
    <xf numFmtId="168" fontId="35" fillId="10" borderId="2" xfId="0" applyNumberFormat="1" applyFont="1" applyFill="1" applyBorder="1" applyAlignment="1">
      <alignment vertical="center"/>
    </xf>
    <xf numFmtId="168" fontId="32" fillId="10" borderId="2" xfId="0" applyNumberFormat="1" applyFont="1" applyFill="1" applyBorder="1" applyAlignment="1">
      <alignment vertical="center"/>
    </xf>
    <xf numFmtId="168" fontId="30" fillId="8" borderId="0" xfId="0" applyNumberFormat="1" applyFont="1" applyFill="1" applyBorder="1"/>
    <xf numFmtId="0" fontId="30" fillId="6" borderId="2" xfId="0" applyFont="1" applyFill="1" applyBorder="1" applyAlignment="1">
      <alignment horizontal="center" vertical="center" wrapText="1"/>
    </xf>
    <xf numFmtId="172" fontId="30" fillId="6" borderId="2" xfId="0" applyNumberFormat="1" applyFont="1" applyFill="1" applyBorder="1" applyAlignment="1">
      <alignment vertical="center" wrapText="1"/>
    </xf>
    <xf numFmtId="172" fontId="30" fillId="8" borderId="0" xfId="4" applyNumberFormat="1" applyFont="1" applyFill="1" applyBorder="1"/>
    <xf numFmtId="0" fontId="37" fillId="7" borderId="0" xfId="0" applyFont="1" applyFill="1" applyBorder="1"/>
    <xf numFmtId="0" fontId="30" fillId="7" borderId="0" xfId="0" applyFont="1" applyFill="1" applyBorder="1"/>
    <xf numFmtId="0" fontId="32" fillId="7" borderId="0" xfId="0" applyFont="1" applyFill="1" applyBorder="1" applyAlignment="1">
      <alignment horizontal="center" vertical="center"/>
    </xf>
    <xf numFmtId="0" fontId="30" fillId="7" borderId="23" xfId="0" applyFont="1" applyFill="1" applyBorder="1"/>
    <xf numFmtId="0" fontId="30" fillId="7" borderId="24" xfId="0" applyFont="1" applyFill="1" applyBorder="1"/>
    <xf numFmtId="0" fontId="32" fillId="7" borderId="24" xfId="0" applyFont="1" applyFill="1" applyBorder="1" applyAlignment="1">
      <alignment horizontal="center" vertical="center"/>
    </xf>
    <xf numFmtId="165" fontId="32" fillId="7" borderId="24" xfId="0" applyNumberFormat="1" applyFont="1" applyFill="1" applyBorder="1" applyAlignment="1">
      <alignment horizontal="center" vertical="center"/>
    </xf>
    <xf numFmtId="0" fontId="30" fillId="7" borderId="25" xfId="0" applyFont="1" applyFill="1" applyBorder="1"/>
    <xf numFmtId="0" fontId="0" fillId="0" borderId="0" xfId="0" applyAlignment="1">
      <alignment wrapText="1"/>
    </xf>
    <xf numFmtId="168" fontId="9" fillId="0" borderId="2" xfId="0" applyNumberFormat="1" applyFont="1" applyBorder="1" applyAlignment="1">
      <alignment horizontal="center" wrapText="1"/>
    </xf>
    <xf numFmtId="168" fontId="7" fillId="0" borderId="2" xfId="4" applyNumberFormat="1" applyFont="1" applyBorder="1" applyAlignment="1">
      <alignment horizontal="center"/>
    </xf>
    <xf numFmtId="0" fontId="9" fillId="0" borderId="2" xfId="0" applyFont="1" applyFill="1" applyBorder="1"/>
    <xf numFmtId="0" fontId="9" fillId="0" borderId="2" xfId="0" applyFont="1" applyFill="1" applyBorder="1" applyAlignment="1">
      <alignment horizontal="center"/>
    </xf>
    <xf numFmtId="0" fontId="18" fillId="0" borderId="2" xfId="0" applyFont="1" applyFill="1" applyBorder="1" applyAlignment="1">
      <alignment wrapText="1"/>
    </xf>
    <xf numFmtId="0" fontId="49" fillId="0" borderId="0" xfId="0" applyFont="1"/>
    <xf numFmtId="0" fontId="49" fillId="0" borderId="0" xfId="0" applyFont="1" applyAlignment="1">
      <alignment horizontal="center"/>
    </xf>
    <xf numFmtId="0" fontId="50" fillId="0" borderId="26" xfId="0" applyFont="1" applyBorder="1" applyAlignment="1">
      <alignment horizontal="left" vertical="center" indent="5"/>
    </xf>
    <xf numFmtId="0" fontId="51" fillId="0" borderId="27" xfId="0" applyFont="1" applyBorder="1" applyAlignment="1">
      <alignment vertical="center" wrapText="1"/>
    </xf>
    <xf numFmtId="175" fontId="51" fillId="0" borderId="29" xfId="0" applyNumberFormat="1" applyFont="1" applyBorder="1" applyAlignment="1">
      <alignment vertical="center" wrapText="1"/>
    </xf>
    <xf numFmtId="0" fontId="53" fillId="12" borderId="27" xfId="0" applyFont="1" applyFill="1" applyBorder="1" applyAlignment="1">
      <alignment horizontal="center" vertical="center"/>
    </xf>
    <xf numFmtId="0" fontId="53" fillId="0" borderId="0" xfId="0" applyFont="1"/>
    <xf numFmtId="0" fontId="54" fillId="0" borderId="30" xfId="0" applyFont="1" applyBorder="1" applyAlignment="1">
      <alignment horizontal="centerContinuous" vertical="center" wrapText="1"/>
    </xf>
    <xf numFmtId="0" fontId="55" fillId="0" borderId="31" xfId="0" applyFont="1" applyBorder="1" applyAlignment="1">
      <alignment horizontal="centerContinuous" vertical="center" wrapText="1"/>
    </xf>
    <xf numFmtId="0" fontId="49" fillId="0" borderId="31" xfId="0" applyFont="1" applyBorder="1" applyAlignment="1">
      <alignment horizontal="centerContinuous"/>
    </xf>
    <xf numFmtId="0" fontId="53" fillId="0" borderId="32" xfId="0" applyFont="1" applyBorder="1" applyAlignment="1">
      <alignment horizontal="centerContinuous" vertical="center" wrapText="1"/>
    </xf>
    <xf numFmtId="0" fontId="55" fillId="0" borderId="2" xfId="0" applyFont="1" applyBorder="1" applyAlignment="1">
      <alignment horizontal="left"/>
    </xf>
    <xf numFmtId="0" fontId="51" fillId="0" borderId="2" xfId="0" applyFont="1" applyBorder="1" applyAlignment="1">
      <alignment horizontal="left"/>
    </xf>
    <xf numFmtId="168" fontId="51" fillId="0" borderId="2" xfId="4" applyNumberFormat="1" applyFont="1" applyBorder="1" applyAlignment="1">
      <alignment horizontal="left"/>
    </xf>
    <xf numFmtId="168" fontId="51" fillId="0" borderId="2" xfId="0" applyNumberFormat="1" applyFont="1" applyBorder="1" applyAlignment="1">
      <alignment horizontal="left"/>
    </xf>
    <xf numFmtId="167" fontId="55" fillId="0" borderId="2" xfId="0" applyNumberFormat="1" applyFont="1" applyBorder="1" applyAlignment="1">
      <alignment horizontal="left"/>
    </xf>
    <xf numFmtId="167" fontId="49" fillId="0" borderId="0" xfId="0" applyNumberFormat="1" applyFont="1"/>
    <xf numFmtId="0" fontId="53" fillId="0" borderId="2" xfId="0" applyFont="1" applyBorder="1"/>
    <xf numFmtId="9" fontId="51" fillId="0" borderId="10" xfId="13" applyFont="1" applyBorder="1" applyAlignment="1">
      <alignment horizontal="center"/>
    </xf>
    <xf numFmtId="0" fontId="55" fillId="0" borderId="5" xfId="0" applyFont="1" applyBorder="1" applyAlignment="1">
      <alignment horizontal="left"/>
    </xf>
    <xf numFmtId="0" fontId="53" fillId="0" borderId="5" xfId="0" applyFont="1" applyBorder="1"/>
    <xf numFmtId="9" fontId="51" fillId="0" borderId="33" xfId="13" applyFont="1" applyBorder="1" applyAlignment="1">
      <alignment horizontal="center"/>
    </xf>
    <xf numFmtId="167" fontId="55" fillId="0" borderId="5" xfId="0" applyNumberFormat="1" applyFont="1" applyBorder="1" applyAlignment="1">
      <alignment horizontal="left"/>
    </xf>
    <xf numFmtId="0" fontId="24" fillId="3" borderId="34" xfId="0" applyFont="1" applyFill="1" applyBorder="1" applyAlignment="1">
      <alignment vertical="center"/>
    </xf>
    <xf numFmtId="0" fontId="24" fillId="3" borderId="35" xfId="0" applyFont="1" applyFill="1" applyBorder="1" applyAlignment="1">
      <alignment vertical="center"/>
    </xf>
    <xf numFmtId="0" fontId="24" fillId="3" borderId="38" xfId="0" applyFont="1" applyFill="1" applyBorder="1" applyAlignment="1">
      <alignment vertical="center"/>
    </xf>
    <xf numFmtId="0" fontId="24" fillId="3" borderId="39" xfId="0" applyFont="1" applyFill="1" applyBorder="1" applyAlignment="1">
      <alignment vertical="center"/>
    </xf>
    <xf numFmtId="0" fontId="24" fillId="3" borderId="2" xfId="0" applyFont="1" applyFill="1" applyBorder="1" applyAlignment="1">
      <alignment vertical="center"/>
    </xf>
    <xf numFmtId="0" fontId="56" fillId="4" borderId="2" xfId="0" applyFont="1" applyFill="1" applyBorder="1" applyAlignment="1">
      <alignment horizontal="center" vertical="center" wrapText="1" readingOrder="1"/>
    </xf>
    <xf numFmtId="0" fontId="24" fillId="3" borderId="40" xfId="0" applyFont="1" applyFill="1" applyBorder="1" applyAlignment="1">
      <alignment vertical="center"/>
    </xf>
    <xf numFmtId="0" fontId="49" fillId="0" borderId="0" xfId="0" applyFont="1" applyAlignment="1">
      <alignment vertical="center"/>
    </xf>
    <xf numFmtId="0" fontId="0" fillId="0" borderId="39" xfId="0" applyBorder="1" applyAlignment="1">
      <alignment horizontal="center" vertical="center"/>
    </xf>
    <xf numFmtId="0" fontId="53" fillId="0" borderId="2" xfId="0" applyFont="1" applyBorder="1" applyAlignment="1">
      <alignment vertical="center"/>
    </xf>
    <xf numFmtId="167" fontId="53" fillId="0" borderId="2" xfId="1" applyNumberFormat="1" applyFont="1" applyBorder="1" applyAlignment="1">
      <alignment horizontal="center" vertical="center" wrapText="1"/>
    </xf>
    <xf numFmtId="0" fontId="57" fillId="0" borderId="2" xfId="0" quotePrefix="1" applyFont="1" applyBorder="1" applyAlignment="1">
      <alignment vertical="center" wrapText="1"/>
    </xf>
    <xf numFmtId="0" fontId="53" fillId="0" borderId="0" xfId="0" applyFont="1" applyAlignment="1">
      <alignment vertical="center"/>
    </xf>
    <xf numFmtId="167" fontId="53" fillId="0" borderId="2" xfId="0" applyNumberFormat="1" applyFont="1" applyBorder="1" applyAlignment="1">
      <alignment vertical="center"/>
    </xf>
    <xf numFmtId="167" fontId="53" fillId="0" borderId="2" xfId="1" applyNumberFormat="1" applyFont="1" applyFill="1" applyBorder="1" applyAlignment="1">
      <alignment horizontal="center" vertical="center" wrapText="1"/>
    </xf>
    <xf numFmtId="0" fontId="0" fillId="2" borderId="2" xfId="0" applyFill="1" applyBorder="1" applyAlignment="1">
      <alignment vertical="center" wrapText="1"/>
    </xf>
    <xf numFmtId="168" fontId="53" fillId="0" borderId="2" xfId="0" applyNumberFormat="1" applyFont="1" applyBorder="1" applyAlignment="1">
      <alignment horizontal="center" vertical="center"/>
    </xf>
    <xf numFmtId="170" fontId="53" fillId="0" borderId="2" xfId="0" applyNumberFormat="1" applyFont="1" applyBorder="1" applyAlignment="1">
      <alignment vertical="center"/>
    </xf>
    <xf numFmtId="0" fontId="0" fillId="2" borderId="2" xfId="0" applyFill="1" applyBorder="1" applyAlignment="1">
      <alignment vertical="center"/>
    </xf>
    <xf numFmtId="0" fontId="53" fillId="0" borderId="2" xfId="0" applyFont="1" applyBorder="1" applyAlignment="1">
      <alignment horizontal="center" vertical="center"/>
    </xf>
    <xf numFmtId="0" fontId="49" fillId="2" borderId="2" xfId="0" applyFont="1" applyFill="1" applyBorder="1" applyAlignment="1">
      <alignment vertical="center" wrapText="1"/>
    </xf>
    <xf numFmtId="0" fontId="51" fillId="0" borderId="2" xfId="0" applyFont="1" applyBorder="1" applyAlignment="1">
      <alignment horizontal="center" vertical="center"/>
    </xf>
    <xf numFmtId="169" fontId="0" fillId="2" borderId="2" xfId="3" applyNumberFormat="1" applyFont="1" applyFill="1" applyBorder="1" applyAlignment="1">
      <alignment vertical="center"/>
    </xf>
    <xf numFmtId="0" fontId="53" fillId="0" borderId="2" xfId="0" applyFont="1" applyBorder="1" applyAlignment="1">
      <alignment vertical="center" wrapText="1"/>
    </xf>
    <xf numFmtId="167" fontId="53" fillId="0" borderId="2" xfId="1" applyNumberFormat="1" applyFont="1" applyBorder="1" applyAlignment="1">
      <alignment horizontal="center" vertical="center"/>
    </xf>
    <xf numFmtId="0" fontId="53" fillId="0" borderId="2" xfId="2" applyFont="1" applyBorder="1" applyAlignment="1">
      <alignment horizontal="left" vertical="center"/>
    </xf>
    <xf numFmtId="167" fontId="53" fillId="0" borderId="2" xfId="3" applyNumberFormat="1" applyFont="1" applyBorder="1" applyAlignment="1">
      <alignment horizontal="center" vertical="center"/>
    </xf>
    <xf numFmtId="0" fontId="61" fillId="0" borderId="0" xfId="0" applyFont="1"/>
    <xf numFmtId="0" fontId="53" fillId="0" borderId="2" xfId="2" applyFont="1" applyBorder="1" applyAlignment="1">
      <alignment vertical="center"/>
    </xf>
    <xf numFmtId="0" fontId="24" fillId="0" borderId="0" xfId="0" applyFont="1"/>
    <xf numFmtId="168" fontId="53" fillId="0" borderId="2" xfId="4" applyNumberFormat="1" applyFont="1" applyFill="1" applyBorder="1" applyAlignment="1">
      <alignment vertical="center" wrapText="1"/>
    </xf>
    <xf numFmtId="168" fontId="53" fillId="0" borderId="2" xfId="4" applyNumberFormat="1" applyFont="1" applyFill="1" applyBorder="1" applyAlignment="1">
      <alignment vertical="center"/>
    </xf>
    <xf numFmtId="0" fontId="0" fillId="0" borderId="0" xfId="0" applyAlignment="1">
      <alignment horizontal="left" vertical="center" indent="1"/>
    </xf>
    <xf numFmtId="0" fontId="53" fillId="0" borderId="2" xfId="0" applyFont="1" applyBorder="1" applyAlignment="1">
      <alignment horizontal="left" vertical="center"/>
    </xf>
    <xf numFmtId="0" fontId="53" fillId="0" borderId="0" xfId="0" applyFont="1" applyAlignment="1">
      <alignment horizontal="left" vertical="center"/>
    </xf>
    <xf numFmtId="0" fontId="65" fillId="0" borderId="2" xfId="0" applyFont="1" applyBorder="1" applyAlignment="1">
      <alignment vertical="center" wrapText="1"/>
    </xf>
    <xf numFmtId="0" fontId="65" fillId="0" borderId="2" xfId="0" applyFont="1" applyBorder="1" applyAlignment="1">
      <alignment vertical="center"/>
    </xf>
    <xf numFmtId="0" fontId="66" fillId="0" borderId="0" xfId="0" applyFont="1" applyAlignment="1">
      <alignment vertical="center"/>
    </xf>
    <xf numFmtId="0" fontId="51" fillId="0" borderId="0" xfId="0" applyFont="1"/>
    <xf numFmtId="0" fontId="53" fillId="0" borderId="0" xfId="0" applyFont="1" applyAlignment="1">
      <alignment horizontal="center"/>
    </xf>
    <xf numFmtId="0" fontId="53" fillId="0" borderId="2" xfId="0" applyFont="1" applyFill="1" applyBorder="1" applyAlignment="1">
      <alignment vertical="center"/>
    </xf>
    <xf numFmtId="0" fontId="53" fillId="0" borderId="2" xfId="0" applyFont="1" applyFill="1" applyBorder="1" applyAlignment="1">
      <alignment horizontal="center" vertical="center"/>
    </xf>
    <xf numFmtId="16" fontId="53" fillId="0" borderId="0" xfId="0" applyNumberFormat="1" applyFont="1" applyAlignment="1">
      <alignment vertical="center"/>
    </xf>
    <xf numFmtId="0" fontId="7" fillId="0" borderId="0" xfId="0" applyFont="1" applyAlignment="1">
      <alignment horizontal="left"/>
    </xf>
    <xf numFmtId="0" fontId="13" fillId="0" borderId="0" xfId="0" applyFont="1" applyAlignment="1">
      <alignment horizontal="center" vertical="center"/>
    </xf>
    <xf numFmtId="0" fontId="14" fillId="0" borderId="1" xfId="0" applyFont="1" applyBorder="1" applyAlignment="1">
      <alignment horizontal="left"/>
    </xf>
    <xf numFmtId="168" fontId="7" fillId="0" borderId="2" xfId="4" applyNumberFormat="1"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0" fontId="30" fillId="6" borderId="2" xfId="0" applyFont="1" applyFill="1" applyBorder="1" applyAlignment="1">
      <alignment horizontal="left" vertical="center" wrapText="1"/>
    </xf>
    <xf numFmtId="0" fontId="30" fillId="6" borderId="9" xfId="0" applyFont="1" applyFill="1" applyBorder="1" applyAlignment="1">
      <alignment horizontal="left" vertical="center" wrapText="1"/>
    </xf>
    <xf numFmtId="0" fontId="30" fillId="6" borderId="10" xfId="0" applyFont="1" applyFill="1" applyBorder="1" applyAlignment="1">
      <alignment horizontal="left" vertical="center" wrapText="1"/>
    </xf>
    <xf numFmtId="0" fontId="46" fillId="7" borderId="18" xfId="0" applyFont="1" applyFill="1" applyBorder="1" applyAlignment="1">
      <alignment horizontal="left" vertical="center" wrapText="1"/>
    </xf>
    <xf numFmtId="0" fontId="28" fillId="0" borderId="19" xfId="0" applyFont="1" applyBorder="1"/>
    <xf numFmtId="0" fontId="46" fillId="7" borderId="21" xfId="0" applyFont="1" applyFill="1" applyBorder="1" applyAlignment="1">
      <alignment horizontal="left" vertical="center" wrapText="1"/>
    </xf>
    <xf numFmtId="0" fontId="28" fillId="0" borderId="22" xfId="0" applyFont="1" applyBorder="1"/>
    <xf numFmtId="172" fontId="32" fillId="9" borderId="18" xfId="4" applyNumberFormat="1" applyFont="1" applyFill="1" applyBorder="1" applyAlignment="1">
      <alignment horizontal="center" vertical="center" wrapText="1"/>
    </xf>
    <xf numFmtId="172" fontId="28" fillId="0" borderId="19" xfId="4" applyNumberFormat="1" applyFont="1" applyBorder="1"/>
    <xf numFmtId="0" fontId="32" fillId="10" borderId="2" xfId="0" applyFont="1" applyFill="1" applyBorder="1" applyAlignment="1">
      <alignment horizontal="center" vertical="center" wrapText="1"/>
    </xf>
    <xf numFmtId="0" fontId="28" fillId="5" borderId="2" xfId="0" applyFont="1" applyFill="1" applyBorder="1" applyAlignment="1">
      <alignment horizontal="center"/>
    </xf>
    <xf numFmtId="172" fontId="32" fillId="11" borderId="18" xfId="4" applyNumberFormat="1" applyFont="1" applyFill="1" applyBorder="1" applyAlignment="1">
      <alignment horizontal="center" vertical="center" wrapText="1"/>
    </xf>
    <xf numFmtId="172" fontId="28" fillId="5" borderId="19" xfId="4" applyNumberFormat="1" applyFont="1" applyFill="1" applyBorder="1"/>
    <xf numFmtId="164" fontId="30" fillId="0" borderId="18" xfId="0" quotePrefix="1" applyNumberFormat="1" applyFont="1" applyBorder="1" applyAlignment="1">
      <alignment horizontal="left" vertical="center" wrapText="1"/>
    </xf>
    <xf numFmtId="174" fontId="30" fillId="0" borderId="18" xfId="0" applyNumberFormat="1" applyFont="1" applyBorder="1" applyAlignment="1">
      <alignment horizontal="left" vertical="center" wrapText="1"/>
    </xf>
    <xf numFmtId="174" fontId="39" fillId="0" borderId="18" xfId="0" applyNumberFormat="1" applyFont="1" applyBorder="1" applyAlignment="1">
      <alignment horizontal="left" vertical="center" wrapText="1"/>
    </xf>
    <xf numFmtId="0" fontId="39" fillId="0" borderId="18" xfId="0" applyFont="1" applyBorder="1" applyAlignment="1">
      <alignment horizontal="left" vertical="center" wrapText="1"/>
    </xf>
    <xf numFmtId="174" fontId="43" fillId="3" borderId="18" xfId="0" applyNumberFormat="1" applyFont="1" applyFill="1" applyBorder="1" applyAlignment="1">
      <alignment horizontal="left" vertical="center" wrapText="1"/>
    </xf>
    <xf numFmtId="0" fontId="44" fillId="3" borderId="19" xfId="0" applyFont="1" applyFill="1" applyBorder="1"/>
    <xf numFmtId="174" fontId="40" fillId="0" borderId="18" xfId="0" applyNumberFormat="1" applyFont="1" applyBorder="1" applyAlignment="1">
      <alignment horizontal="left" vertical="center" wrapText="1"/>
    </xf>
    <xf numFmtId="165" fontId="32" fillId="9" borderId="18" xfId="4" applyNumberFormat="1" applyFont="1" applyFill="1" applyBorder="1" applyAlignment="1">
      <alignment horizontal="center" vertical="center" wrapText="1"/>
    </xf>
    <xf numFmtId="174" fontId="43" fillId="0" borderId="18" xfId="0" applyNumberFormat="1" applyFont="1" applyBorder="1" applyAlignment="1">
      <alignment horizontal="left" vertical="center" wrapText="1"/>
    </xf>
    <xf numFmtId="0" fontId="44" fillId="0" borderId="19" xfId="0" applyFont="1" applyBorder="1"/>
    <xf numFmtId="0" fontId="30" fillId="7" borderId="12" xfId="0" applyFont="1" applyFill="1" applyBorder="1" applyAlignment="1">
      <alignment horizontal="center"/>
    </xf>
    <xf numFmtId="0" fontId="28" fillId="0" borderId="12" xfId="0" applyFont="1" applyBorder="1"/>
    <xf numFmtId="0" fontId="31" fillId="7" borderId="0" xfId="0" applyFont="1" applyFill="1" applyBorder="1" applyAlignment="1">
      <alignment horizontal="center" vertical="center"/>
    </xf>
    <xf numFmtId="0" fontId="28" fillId="0" borderId="0" xfId="0" applyFont="1" applyBorder="1"/>
    <xf numFmtId="168" fontId="32" fillId="9" borderId="18" xfId="0" applyNumberFormat="1" applyFont="1" applyFill="1" applyBorder="1" applyAlignment="1">
      <alignment horizontal="center" vertical="center" wrapText="1"/>
    </xf>
    <xf numFmtId="0" fontId="67" fillId="0" borderId="0" xfId="0" applyFont="1" applyAlignment="1">
      <alignment horizontal="center" wrapText="1"/>
    </xf>
    <xf numFmtId="0" fontId="52" fillId="0" borderId="26" xfId="0" applyFont="1" applyBorder="1" applyAlignment="1">
      <alignment horizontal="center" vertical="center" wrapText="1"/>
    </xf>
    <xf numFmtId="0" fontId="52" fillId="0" borderId="28" xfId="0" applyFont="1" applyBorder="1" applyAlignment="1">
      <alignment horizontal="center" vertical="center" wrapText="1"/>
    </xf>
    <xf numFmtId="0" fontId="51" fillId="0" borderId="1" xfId="0" applyFont="1" applyBorder="1" applyAlignment="1">
      <alignment horizontal="left"/>
    </xf>
    <xf numFmtId="0" fontId="7" fillId="4" borderId="36"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24" fillId="3" borderId="38" xfId="0" applyFont="1" applyFill="1" applyBorder="1" applyAlignment="1">
      <alignment horizontal="center" vertical="center"/>
    </xf>
    <xf numFmtId="0" fontId="24" fillId="3" borderId="41" xfId="0" applyFont="1" applyFill="1" applyBorder="1" applyAlignment="1">
      <alignment horizontal="center" vertical="center"/>
    </xf>
    <xf numFmtId="0" fontId="26" fillId="0" borderId="0" xfId="0" applyFont="1" applyAlignment="1">
      <alignment horizontal="center"/>
    </xf>
    <xf numFmtId="0" fontId="18" fillId="0" borderId="0" xfId="0" applyFont="1" applyAlignment="1">
      <alignment horizontal="left"/>
    </xf>
    <xf numFmtId="0" fontId="0" fillId="0" borderId="0" xfId="0" applyAlignment="1">
      <alignment horizontal="center" vertical="center"/>
    </xf>
    <xf numFmtId="0" fontId="25" fillId="0" borderId="0" xfId="0" applyFont="1" applyAlignment="1">
      <alignment horizontal="center"/>
    </xf>
    <xf numFmtId="0" fontId="24" fillId="0" borderId="0" xfId="0" applyFont="1" applyAlignment="1">
      <alignment horizontal="center"/>
    </xf>
    <xf numFmtId="0" fontId="24" fillId="3" borderId="5" xfId="0" applyFont="1" applyFill="1" applyBorder="1" applyAlignment="1">
      <alignment horizontal="center"/>
    </xf>
    <xf numFmtId="0" fontId="24" fillId="3" borderId="6" xfId="0" applyFont="1" applyFill="1" applyBorder="1" applyAlignment="1">
      <alignment horizontal="center"/>
    </xf>
    <xf numFmtId="0" fontId="24" fillId="3" borderId="2" xfId="0" applyFont="1" applyFill="1" applyBorder="1" applyAlignment="1">
      <alignment horizontal="center"/>
    </xf>
    <xf numFmtId="0" fontId="24" fillId="3" borderId="7" xfId="0" applyFont="1" applyFill="1" applyBorder="1" applyAlignment="1">
      <alignment horizontal="center"/>
    </xf>
    <xf numFmtId="0" fontId="24" fillId="3" borderId="0" xfId="0" applyFont="1" applyFill="1" applyBorder="1" applyAlignment="1">
      <alignment horizontal="center"/>
    </xf>
    <xf numFmtId="0" fontId="24" fillId="3" borderId="8" xfId="0" applyFont="1" applyFill="1" applyBorder="1" applyAlignment="1">
      <alignment horizontal="center"/>
    </xf>
    <xf numFmtId="0" fontId="0" fillId="3" borderId="2" xfId="0" applyFill="1" applyBorder="1" applyAlignment="1">
      <alignment horizontal="center" vertical="center"/>
    </xf>
    <xf numFmtId="0" fontId="2" fillId="2" borderId="0" xfId="0" applyFont="1" applyFill="1" applyAlignment="1">
      <alignment horizontal="center"/>
    </xf>
    <xf numFmtId="0" fontId="61" fillId="0" borderId="2" xfId="0" applyFont="1" applyBorder="1"/>
    <xf numFmtId="0" fontId="48" fillId="0" borderId="2" xfId="0" quotePrefix="1" applyFont="1" applyBorder="1" applyAlignment="1">
      <alignment vertical="center" wrapText="1"/>
    </xf>
    <xf numFmtId="0" fontId="0" fillId="2" borderId="2" xfId="0" quotePrefix="1" applyFill="1" applyBorder="1" applyAlignment="1">
      <alignment vertical="center" wrapText="1"/>
    </xf>
    <xf numFmtId="0" fontId="58" fillId="2" borderId="2" xfId="0" applyFont="1" applyFill="1" applyBorder="1" applyAlignment="1">
      <alignment vertical="center" wrapText="1"/>
    </xf>
    <xf numFmtId="0" fontId="60" fillId="0" borderId="2" xfId="0" quotePrefix="1" applyFont="1" applyBorder="1" applyAlignment="1">
      <alignment vertical="center" wrapText="1"/>
    </xf>
    <xf numFmtId="0" fontId="53" fillId="0" borderId="2" xfId="2" quotePrefix="1" applyFont="1" applyBorder="1" applyAlignment="1">
      <alignment vertical="center" wrapText="1"/>
    </xf>
    <xf numFmtId="0" fontId="50" fillId="2" borderId="2" xfId="0" quotePrefix="1" applyFont="1" applyFill="1" applyBorder="1" applyAlignment="1">
      <alignment vertical="center" wrapText="1"/>
    </xf>
    <xf numFmtId="0" fontId="0" fillId="0" borderId="2" xfId="0" applyFill="1" applyBorder="1" applyAlignment="1">
      <alignment vertical="center" wrapText="1"/>
    </xf>
    <xf numFmtId="0" fontId="24" fillId="0" borderId="2" xfId="0" applyFont="1" applyBorder="1"/>
    <xf numFmtId="0" fontId="48" fillId="2" borderId="2" xfId="0" applyFont="1" applyFill="1" applyBorder="1" applyAlignment="1">
      <alignment vertical="center" wrapText="1"/>
    </xf>
    <xf numFmtId="0" fontId="62" fillId="2" borderId="2" xfId="14" quotePrefix="1" applyFont="1" applyFill="1" applyBorder="1" applyAlignment="1">
      <alignment vertical="center" wrapText="1"/>
    </xf>
    <xf numFmtId="0" fontId="0" fillId="0" borderId="2" xfId="0" applyBorder="1" applyAlignment="1">
      <alignment vertical="center" wrapText="1"/>
    </xf>
    <xf numFmtId="0" fontId="53" fillId="2" borderId="2" xfId="0" applyFont="1" applyFill="1" applyBorder="1" applyAlignment="1">
      <alignment vertical="center" wrapText="1"/>
    </xf>
  </cellXfs>
  <cellStyles count="15">
    <cellStyle name="C:\Data\MS\Excel_LA Proposal in 2011" xfId="7" xr:uid="{00000000-0005-0000-0000-000000000000}"/>
    <cellStyle name="Comma" xfId="4" builtinId="3"/>
    <cellStyle name="Comma 16" xfId="3" xr:uid="{00000000-0005-0000-0000-000002000000}"/>
    <cellStyle name="Comma 2" xfId="1" xr:uid="{00000000-0005-0000-0000-000003000000}"/>
    <cellStyle name="Comma 2 2" xfId="5" xr:uid="{00000000-0005-0000-0000-000004000000}"/>
    <cellStyle name="Comma 2 4 2" xfId="12" xr:uid="{00000000-0005-0000-0000-000005000000}"/>
    <cellStyle name="Comma 3" xfId="9" xr:uid="{00000000-0005-0000-0000-000006000000}"/>
    <cellStyle name="Comma 5" xfId="6" xr:uid="{00000000-0005-0000-0000-000007000000}"/>
    <cellStyle name="Comma 5 9" xfId="11" xr:uid="{00000000-0005-0000-0000-000008000000}"/>
    <cellStyle name="Comma 7" xfId="8" xr:uid="{00000000-0005-0000-0000-000009000000}"/>
    <cellStyle name="Normal" xfId="0" builtinId="0"/>
    <cellStyle name="Normal 3" xfId="14" xr:uid="{279E9BAA-AC30-447D-A14A-8B76D55F31D6}"/>
    <cellStyle name="Normal 4 9" xfId="10" xr:uid="{00000000-0005-0000-0000-00000B000000}"/>
    <cellStyle name="Normal 9" xfId="2" xr:uid="{00000000-0005-0000-0000-00000C000000}"/>
    <cellStyle name="Percent" xfId="1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_rels/drawing3.xml.rels><?xml version="1.0" encoding="UTF-8" standalone="yes"?>
<Relationships xmlns="http://schemas.openxmlformats.org/package/2006/relationships"><Relationship Id="rId1" Type="http://schemas.openxmlformats.org/officeDocument/2006/relationships/image" Target="NUL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NULL"/></Relationships>
</file>

<file path=xl/drawings/_rels/drawing6.xml.rels><?xml version="1.0" encoding="UTF-8" standalone="yes"?>
<Relationships xmlns="http://schemas.openxmlformats.org/package/2006/relationships"><Relationship Id="rId1" Type="http://schemas.openxmlformats.org/officeDocument/2006/relationships/image" Target="NULL"/></Relationships>
</file>

<file path=xl/drawings/_rels/drawing7.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6067425</xdr:colOff>
      <xdr:row>0</xdr:row>
      <xdr:rowOff>1674813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12639675" cy="16748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28575</xdr:rowOff>
    </xdr:from>
    <xdr:ext cx="5203564" cy="830784"/>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7150" y="28575"/>
          <a:ext cx="5203564" cy="830784"/>
        </a:xfrm>
        <a:prstGeom prst="rect">
          <a:avLst/>
        </a:prstGeom>
      </xdr:spPr>
    </xdr:pic>
    <xdr:clientData/>
  </xdr:oneCellAnchor>
  <xdr:oneCellAnchor>
    <xdr:from>
      <xdr:col>1</xdr:col>
      <xdr:colOff>0</xdr:colOff>
      <xdr:row>0</xdr:row>
      <xdr:rowOff>119061</xdr:rowOff>
    </xdr:from>
    <xdr:ext cx="6272894" cy="843643"/>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28600" y="119061"/>
          <a:ext cx="6272894" cy="84364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6289675</xdr:colOff>
      <xdr:row>0</xdr:row>
      <xdr:rowOff>1674813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14097000" cy="16748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159712</xdr:rowOff>
    </xdr:from>
    <xdr:to>
      <xdr:col>1</xdr:col>
      <xdr:colOff>1629832</xdr:colOff>
      <xdr:row>1</xdr:row>
      <xdr:rowOff>1286356</xdr:rowOff>
    </xdr:to>
    <xdr:pic>
      <xdr:nvPicPr>
        <xdr:cNvPr id="2" name="Picture 3">
          <a:extLst>
            <a:ext uri="{FF2B5EF4-FFF2-40B4-BE49-F238E27FC236}">
              <a16:creationId xmlns:a16="http://schemas.microsoft.com/office/drawing/2014/main" id="{DEC3D258-1043-4B68-8291-17C74D3B7E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5412"/>
          <a:ext cx="2252132" cy="1196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121920</xdr:colOff>
      <xdr:row>4</xdr:row>
      <xdr:rowOff>53828</xdr:rowOff>
    </xdr:from>
    <xdr:to>
      <xdr:col>15</xdr:col>
      <xdr:colOff>326955</xdr:colOff>
      <xdr:row>10</xdr:row>
      <xdr:rowOff>181451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494020" y="968228"/>
          <a:ext cx="6301035" cy="25050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16565</xdr:colOff>
      <xdr:row>0</xdr:row>
      <xdr:rowOff>31613</xdr:rowOff>
    </xdr:from>
    <xdr:to>
      <xdr:col>9</xdr:col>
      <xdr:colOff>16566</xdr:colOff>
      <xdr:row>1</xdr:row>
      <xdr:rowOff>9801</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65" y="31613"/>
          <a:ext cx="12068176" cy="578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9526</xdr:rowOff>
    </xdr:from>
    <xdr:to>
      <xdr:col>8</xdr:col>
      <xdr:colOff>5019675</xdr:colOff>
      <xdr:row>1</xdr:row>
      <xdr:rowOff>19051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526"/>
          <a:ext cx="110966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16565</xdr:colOff>
      <xdr:row>0</xdr:row>
      <xdr:rowOff>31613</xdr:rowOff>
    </xdr:from>
    <xdr:to>
      <xdr:col>9</xdr:col>
      <xdr:colOff>16566</xdr:colOff>
      <xdr:row>1</xdr:row>
      <xdr:rowOff>9801</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65" y="31613"/>
          <a:ext cx="12858751" cy="578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9526</xdr:rowOff>
    </xdr:from>
    <xdr:to>
      <xdr:col>8</xdr:col>
      <xdr:colOff>5019675</xdr:colOff>
      <xdr:row>1</xdr:row>
      <xdr:rowOff>19051</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526"/>
          <a:ext cx="124968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YRILLE\CLIENTS\REEBOK\DIAG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AOPFCST\2005\SP2005\LOAD_INTO_HYPERION\2005%20JFS%20Vietnam%20SNAC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es%20documents\aventis\Management%20Compensation\2000%20review.xls\BDDsup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VANDOA~1.LA\AppData\Local\Temp\TRSEI\DISTRI99\DECATH99\LER25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HQVEVW01\Users\05%20-%20Strategic%20Supply%20Chain\BIC%20Repository\04%20-%20BP%20&amp;%20Tools\Additional%20Tools%20from%20Total%20Logistics\Manning%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VANDOA~1.LA\AppData\Local\Temp\CLIENTS\A\A\Aventis\Aventis_crop\Etude%202000\Compensation%20audi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dmin\Desktop\Cty\Zuellig%20Pharma\21.08%20warehouse%20staff%20v&#224;%20Delivery%20Admin\Job%20Description%20-%20Delivery%20Admin%20-%20R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_B_C_1\VOL2\ENQUETES\1998\TLC\RES_LISS\HEAVY\FILTLC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I_B_C_1\VOL2\ENQUETES\1998\TLC\RES_LISS\HEAVY\FILTLC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VANDOA~1.LA\AppData\Local\Temp\TRSEI\DISTRI99\Categories\MERCADO.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Aventis%20Hay%20180899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VANDOA~1.LA\AppData\Local\Temp\CLIENTS\B\biom&#233;rieux\Divers\march&#233;%20pharma%20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VANDOA~1.LA\AppData\Local\Temp\@CYRILLE\DIRIGEAN\RP\Seb\Meeting1005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VANDOA~1.LA\AppData\Local\Temp\CLIENTS\L\LAFARGE\2001\ib\LafargeTop\TopLafarge(2%20march&#233;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vnhieung\AppData\Local\Temp\PK8A71.tmp\payment%20%202011-Week%2023%20D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hieu\NGUYEN%20TRUNG%20HIEU\IN%20HOUSE%20PACKING%20SERVICE\PACKING%20SERVICE%20PAYMENT\Hoang%20Nhan\HN%202013\WEEK24H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I_B_C_1\VOL2\ENQUETES\1996\GENERIC\I_PAR_P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_B_C_1\VOL2\ENQUETES\1996\GENERIC\I_PAR_P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PLANNING\2003\Cost\Cost_stru.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VANDOA~1.LA\AppData\Local\Temp\CLIENTS\R\RHODIA\IR\2000\Etudes\Dirigeants\Important\mod&#232;le%20fich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R\ROQUETTE\1997\ENQUETES\ETUDES\INTERRO\PANEL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I_B_C_1\VOL2\HMC\COMMUN\JPG\BENEFITS\ENQUETE\TOME3\EQBRUT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_B_C_1\VOL2\HMC\COMMUN\JPG\BENEFITS\ENQUETE\TOME3\EQBRUT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Admin\AppData\Local\Microsoft\Windows\INetCache\Content.Outlook\CG5MHLEO\Users\User\AppData\Local\Microsoft\Windows\Temporary%20Internet%20Files\Content.Outlook\43V34WUR\B&#225;o%20c&#225;o%20s&#7843;n%20l&#432;&#7907;ng%20hang%20ngay%20t&#7915;ng%20lin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ché voiture"/>
      <sheetName val="Position_relative"/>
      <sheetName val="SALAIRES"/>
      <sheetName val="Nuage Marché SB"/>
      <sheetName val="Nuage Marché TC"/>
      <sheetName val="Total Direct"/>
      <sheetName val="Car Prices"/>
      <sheetName val="Car Values"/>
      <sheetName val="Share options"/>
      <sheetName val="Share options pondéré"/>
      <sheetName val="Feuil2"/>
      <sheetName val="Feuil3"/>
      <sheetName val="Feuil4"/>
      <sheetName val="Feuil5"/>
      <sheetName val="Feuil6"/>
      <sheetName val="Marché"/>
      <sheetName val="Graph1"/>
      <sheetName val="Graph2"/>
      <sheetName val="data"/>
      <sheetName val="Lissage"/>
      <sheetName val="Classif"/>
      <sheetName val="Output"/>
      <sheetName val="Headcount"/>
      <sheetName val="Output Wafer"/>
      <sheetName val="CTDG"/>
      <sheetName val="THVT"/>
      <sheetName val="Information"/>
      <sheetName val="Client information"/>
      <sheetName val="bang tien luong"/>
      <sheetName val="Marché_voiture"/>
      <sheetName val="Nuage_Marché_SB"/>
      <sheetName val="Nuage_Marché_TC"/>
      <sheetName val="Total_Direct"/>
      <sheetName val="Car_Prices"/>
      <sheetName val="Car_Values"/>
      <sheetName val="Share_options"/>
      <sheetName val="Share_options_pondéré"/>
      <sheetName val="Output_Wafer"/>
      <sheetName val="Gioitinh"/>
      <sheetName val="Marché_voiture1"/>
      <sheetName val="Nuage_Marché_SB1"/>
      <sheetName val="Nuage_Marché_TC1"/>
      <sheetName val="Total_Direct1"/>
      <sheetName val="Car_Prices1"/>
      <sheetName val="Car_Values1"/>
      <sheetName val="Share_options1"/>
      <sheetName val="Share_options_pondéré1"/>
      <sheetName val="Output_Wafer1"/>
      <sheetName val="Client_information"/>
      <sheetName val="bang_tien_luong"/>
      <sheetName val="Marché_voiture2"/>
      <sheetName val="Nuage_Marché_SB2"/>
      <sheetName val="Nuage_Marché_TC2"/>
      <sheetName val="Total_Direct2"/>
      <sheetName val="Car_Prices2"/>
      <sheetName val="Car_Values2"/>
      <sheetName val="Share_options2"/>
      <sheetName val="Share_options_pondéré2"/>
      <sheetName val="Output_Wafer2"/>
      <sheetName val="Client_information1"/>
      <sheetName val="bang_tien_luong1"/>
      <sheetName val="Marché_voiture4"/>
      <sheetName val="Nuage_Marché_SB4"/>
      <sheetName val="Nuage_Marché_TC4"/>
      <sheetName val="Total_Direct4"/>
      <sheetName val="Car_Prices4"/>
      <sheetName val="Car_Values4"/>
      <sheetName val="Share_options4"/>
      <sheetName val="Share_options_pondéré4"/>
      <sheetName val="Output_Wafer4"/>
      <sheetName val="Client_information3"/>
      <sheetName val="bang_tien_luong3"/>
      <sheetName val="Marché_voiture3"/>
      <sheetName val="Nuage_Marché_SB3"/>
      <sheetName val="Nuage_Marché_TC3"/>
      <sheetName val="Total_Direct3"/>
      <sheetName val="Car_Prices3"/>
      <sheetName val="Car_Values3"/>
      <sheetName val="Share_options3"/>
      <sheetName val="Share_options_pondéré3"/>
      <sheetName val="Output_Wafer3"/>
      <sheetName val="Client_information2"/>
      <sheetName val="bang_tien_luong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Panel"/>
      <sheetName val="BEV SP Input"/>
      <sheetName val="BEV SP Link"/>
      <sheetName val="BEV Report"/>
      <sheetName val="SNK FC Input"/>
      <sheetName val="SNK FC Link"/>
      <sheetName val="SNK SP Input"/>
      <sheetName val="SNK SP Link"/>
      <sheetName val="SNK Report"/>
      <sheetName val="PL SP Input"/>
      <sheetName val="PL SP Link"/>
      <sheetName val="PL Report"/>
      <sheetName val="BS FC Input"/>
      <sheetName val="Forex Rates"/>
      <sheetName val="TAR BEV Report"/>
      <sheetName val="TAR SNK Report"/>
      <sheetName val="Profit and Loss"/>
      <sheetName val="Balance Sheet"/>
      <sheetName val="Beverage Volume"/>
      <sheetName val="Snacks Volume &amp; Gross Sales"/>
      <sheetName val="Beverage Entities"/>
      <sheetName val="Snacks Entities"/>
      <sheetName val="Referenc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9">
          <cell r="C9" t="str">
            <v>VOB0100</v>
          </cell>
          <cell r="D9" t="str">
            <v>CONC UNIT WEIGHT FACTORS - OVERRIDE</v>
          </cell>
        </row>
        <row r="10">
          <cell r="C10" t="str">
            <v>VOB0100.1010</v>
          </cell>
          <cell r="D10" t="str">
            <v>PEPSI REGULAR</v>
          </cell>
        </row>
        <row r="11">
          <cell r="C11" t="str">
            <v>VOB0100.1020</v>
          </cell>
          <cell r="D11" t="str">
            <v>PEPSI DIET</v>
          </cell>
        </row>
        <row r="12">
          <cell r="C12" t="str">
            <v>VOB0100.1030</v>
          </cell>
          <cell r="D12" t="str">
            <v>PEPSI MAX</v>
          </cell>
        </row>
        <row r="13">
          <cell r="C13" t="str">
            <v>VOB0100.1040</v>
          </cell>
          <cell r="D13" t="str">
            <v>PEPSI OTHER</v>
          </cell>
        </row>
        <row r="14">
          <cell r="C14" t="str">
            <v>VOB0100.2010</v>
          </cell>
          <cell r="D14" t="str">
            <v>MIRINDA ORANGE</v>
          </cell>
        </row>
        <row r="15">
          <cell r="C15" t="str">
            <v>VOB0100.2020</v>
          </cell>
          <cell r="D15" t="str">
            <v>MIRINDA FLAVORS</v>
          </cell>
        </row>
        <row r="16">
          <cell r="C16" t="str">
            <v>VOB0100.3010</v>
          </cell>
          <cell r="D16" t="str">
            <v>7 UP REGULAR</v>
          </cell>
        </row>
        <row r="17">
          <cell r="C17" t="str">
            <v>VOB0100.3020</v>
          </cell>
          <cell r="D17" t="str">
            <v>7 UP DIET</v>
          </cell>
        </row>
        <row r="18">
          <cell r="C18" t="str">
            <v>VOB0100.4010</v>
          </cell>
          <cell r="D18" t="str">
            <v>MANZANITA SOL</v>
          </cell>
        </row>
        <row r="19">
          <cell r="C19" t="str">
            <v>VOB0100.4510</v>
          </cell>
          <cell r="D19" t="str">
            <v>MOUNTAIN DEW</v>
          </cell>
        </row>
        <row r="20">
          <cell r="C20" t="str">
            <v>VOB0100.5010</v>
          </cell>
          <cell r="D20" t="str">
            <v>KAS</v>
          </cell>
        </row>
        <row r="21">
          <cell r="C21" t="str">
            <v>VOB0100.7010</v>
          </cell>
          <cell r="D21" t="str">
            <v>ALL OTHER CSD BRANDS</v>
          </cell>
        </row>
        <row r="22">
          <cell r="C22" t="str">
            <v>VOB0100.110010</v>
          </cell>
          <cell r="D22" t="str">
            <v>GATORADE</v>
          </cell>
        </row>
        <row r="23">
          <cell r="C23" t="str">
            <v>VOB0100.110030</v>
          </cell>
          <cell r="D23" t="str">
            <v>TROPICANA</v>
          </cell>
        </row>
        <row r="24">
          <cell r="C24" t="str">
            <v>VOB0100.110035</v>
          </cell>
          <cell r="D24" t="str">
            <v>LIPTON</v>
          </cell>
        </row>
        <row r="25">
          <cell r="C25" t="str">
            <v>VOB0100.110036</v>
          </cell>
          <cell r="D25" t="str">
            <v>AQUA MINERALE</v>
          </cell>
        </row>
        <row r="26">
          <cell r="C26" t="str">
            <v>VOB0100.110040</v>
          </cell>
          <cell r="D26" t="str">
            <v>ALL OTHER NON-CSD BRANDS</v>
          </cell>
        </row>
        <row r="28">
          <cell r="C28" t="str">
            <v>VOB1000</v>
          </cell>
          <cell r="D28" t="str">
            <v>BOTTLER CASE SALES - 8 OZ. EQUIV-CSD</v>
          </cell>
        </row>
        <row r="29">
          <cell r="C29" t="str">
            <v>VOB1000.10</v>
          </cell>
          <cell r="D29" t="str">
            <v>PEPSI</v>
          </cell>
        </row>
        <row r="30">
          <cell r="C30" t="str">
            <v>VOB1000.10.10</v>
          </cell>
          <cell r="D30" t="str">
            <v>PEPSI REGULAR</v>
          </cell>
        </row>
        <row r="31">
          <cell r="C31" t="str">
            <v>VOB1000.10.20</v>
          </cell>
          <cell r="D31" t="str">
            <v>PEPSI DIET</v>
          </cell>
        </row>
        <row r="32">
          <cell r="C32" t="str">
            <v>VOB1000.10.30</v>
          </cell>
          <cell r="D32" t="str">
            <v>PEPSI MAX</v>
          </cell>
        </row>
        <row r="33">
          <cell r="C33" t="str">
            <v>VOB1000.10.40</v>
          </cell>
          <cell r="D33" t="str">
            <v>PEPSI OTHER</v>
          </cell>
        </row>
        <row r="34">
          <cell r="C34" t="str">
            <v>VOB1000.20</v>
          </cell>
          <cell r="D34" t="str">
            <v>MIRINDA</v>
          </cell>
        </row>
        <row r="35">
          <cell r="C35" t="str">
            <v>VOB1000.20.10</v>
          </cell>
          <cell r="D35" t="str">
            <v>MIRINDA ORANGE</v>
          </cell>
        </row>
        <row r="36">
          <cell r="C36" t="str">
            <v>VOB1000.20.20</v>
          </cell>
          <cell r="D36" t="str">
            <v>MIRINDA FLAVORS</v>
          </cell>
        </row>
        <row r="37">
          <cell r="C37" t="str">
            <v>VOB1000.30</v>
          </cell>
          <cell r="D37" t="str">
            <v>7 UP</v>
          </cell>
        </row>
        <row r="38">
          <cell r="C38" t="str">
            <v>VOB1000.30.10</v>
          </cell>
          <cell r="D38" t="str">
            <v>7 UP REGULAR</v>
          </cell>
        </row>
        <row r="39">
          <cell r="C39" t="str">
            <v>VOB1000.30.20</v>
          </cell>
          <cell r="D39" t="str">
            <v>7 UP DIET</v>
          </cell>
        </row>
        <row r="40">
          <cell r="C40" t="str">
            <v>VOB1000.40</v>
          </cell>
          <cell r="D40" t="str">
            <v>MANZANITA SOL</v>
          </cell>
        </row>
        <row r="41">
          <cell r="C41" t="str">
            <v>VOB1000.45</v>
          </cell>
          <cell r="D41" t="str">
            <v>MOUNTAIN DEW</v>
          </cell>
        </row>
        <row r="42">
          <cell r="C42" t="str">
            <v>VOB1000.50</v>
          </cell>
          <cell r="D42" t="str">
            <v>KAS</v>
          </cell>
        </row>
        <row r="43">
          <cell r="C43" t="str">
            <v>VOB1000.70</v>
          </cell>
          <cell r="D43" t="str">
            <v>ALL OTHER CSD</v>
          </cell>
        </row>
        <row r="44">
          <cell r="C44" t="str">
            <v>VOB1000.80</v>
          </cell>
          <cell r="D44" t="str">
            <v>OBSOLETE</v>
          </cell>
        </row>
        <row r="46">
          <cell r="C46" t="str">
            <v>VOB1100</v>
          </cell>
          <cell r="D46" t="str">
            <v>BOTTLER CASE SALES - 8 OZ. EQUIV-NON CSD</v>
          </cell>
        </row>
        <row r="47">
          <cell r="C47" t="str">
            <v>VOB1100.10</v>
          </cell>
          <cell r="D47" t="str">
            <v>GATORADE</v>
          </cell>
        </row>
        <row r="48">
          <cell r="C48" t="str">
            <v>VOB1100.20</v>
          </cell>
          <cell r="D48" t="str">
            <v>WATER</v>
          </cell>
        </row>
        <row r="49">
          <cell r="C49" t="str">
            <v>VOB1100.30</v>
          </cell>
          <cell r="D49" t="str">
            <v>TROPICANA</v>
          </cell>
        </row>
        <row r="50">
          <cell r="C50" t="str">
            <v>VOB1100.35</v>
          </cell>
          <cell r="D50" t="str">
            <v>LIPTON</v>
          </cell>
        </row>
        <row r="51">
          <cell r="C51" t="str">
            <v>VOB1100.40</v>
          </cell>
          <cell r="D51" t="str">
            <v>ALL OTHER NON CSD</v>
          </cell>
        </row>
        <row r="52">
          <cell r="C52" t="str">
            <v>VOB1100.50</v>
          </cell>
          <cell r="D52" t="str">
            <v>OBSOLETE</v>
          </cell>
        </row>
        <row r="54">
          <cell r="C54" t="str">
            <v>VOB1200</v>
          </cell>
          <cell r="D54" t="str">
            <v>BOTTLER CASE SALES - 8 OZ. EQUIV-TOTAL</v>
          </cell>
        </row>
        <row r="56">
          <cell r="C56" t="str">
            <v>VOB1500</v>
          </cell>
          <cell r="D56" t="str">
            <v>BOTTLER CASE SALES - RAW-CSD</v>
          </cell>
        </row>
        <row r="57">
          <cell r="C57" t="str">
            <v>VOB1500.10</v>
          </cell>
          <cell r="D57" t="str">
            <v>PEPSI</v>
          </cell>
        </row>
        <row r="58">
          <cell r="C58" t="str">
            <v>VOB1500.10.10</v>
          </cell>
          <cell r="D58" t="str">
            <v>PEPSI REGULAR</v>
          </cell>
        </row>
        <row r="59">
          <cell r="C59" t="str">
            <v>VOB1500.10.20</v>
          </cell>
          <cell r="D59" t="str">
            <v>PEPSI DIET</v>
          </cell>
        </row>
        <row r="60">
          <cell r="C60" t="str">
            <v>VOB1500.10.30</v>
          </cell>
          <cell r="D60" t="str">
            <v>PEPSI MAX</v>
          </cell>
        </row>
        <row r="61">
          <cell r="C61" t="str">
            <v>VOB1500.10.40</v>
          </cell>
          <cell r="D61" t="str">
            <v>PEPSI OTHER</v>
          </cell>
        </row>
        <row r="62">
          <cell r="C62" t="str">
            <v>VOB1500.20</v>
          </cell>
          <cell r="D62" t="str">
            <v>MIRINDA</v>
          </cell>
        </row>
        <row r="63">
          <cell r="C63" t="str">
            <v>VOB1500.20.10</v>
          </cell>
          <cell r="D63" t="str">
            <v>MIRINDA ORANGE</v>
          </cell>
        </row>
        <row r="64">
          <cell r="C64" t="str">
            <v>VOB1500.20.20</v>
          </cell>
          <cell r="D64" t="str">
            <v>MIRINDA FLAVORS</v>
          </cell>
        </row>
        <row r="65">
          <cell r="C65" t="str">
            <v>VOB1500.30</v>
          </cell>
          <cell r="D65" t="str">
            <v>7 UP</v>
          </cell>
        </row>
        <row r="66">
          <cell r="C66" t="str">
            <v>VOB1500.30.10</v>
          </cell>
          <cell r="D66" t="str">
            <v>7 UP REGULAR</v>
          </cell>
        </row>
        <row r="67">
          <cell r="C67" t="str">
            <v>VOB1500.30.20</v>
          </cell>
          <cell r="D67" t="str">
            <v>7 UP DIET</v>
          </cell>
        </row>
        <row r="68">
          <cell r="C68" t="str">
            <v>VOB1500.40</v>
          </cell>
          <cell r="D68" t="str">
            <v>MANZANITA SOL</v>
          </cell>
        </row>
        <row r="69">
          <cell r="C69" t="str">
            <v>VOB1500.45</v>
          </cell>
          <cell r="D69" t="str">
            <v>MOUNTAIN DEW</v>
          </cell>
        </row>
        <row r="70">
          <cell r="C70" t="str">
            <v>VOB1500.50</v>
          </cell>
          <cell r="D70" t="str">
            <v>KAS</v>
          </cell>
        </row>
        <row r="71">
          <cell r="C71" t="str">
            <v>VOB1500.70</v>
          </cell>
          <cell r="D71" t="str">
            <v>ALL OTHER CSD</v>
          </cell>
        </row>
        <row r="72">
          <cell r="C72" t="str">
            <v>VOB1500.80</v>
          </cell>
          <cell r="D72" t="str">
            <v>OBSOLETE</v>
          </cell>
        </row>
        <row r="74">
          <cell r="C74" t="str">
            <v>VOB1600</v>
          </cell>
          <cell r="D74" t="str">
            <v>BOTTLER CASE SALES - RAW-NON CSD</v>
          </cell>
        </row>
        <row r="75">
          <cell r="C75" t="str">
            <v>VOB1600.10</v>
          </cell>
          <cell r="D75" t="str">
            <v>GATORADE</v>
          </cell>
        </row>
        <row r="76">
          <cell r="C76" t="str">
            <v>VOB1600.20</v>
          </cell>
          <cell r="D76" t="str">
            <v>WATER</v>
          </cell>
        </row>
        <row r="77">
          <cell r="C77" t="str">
            <v>VOB1600.30</v>
          </cell>
          <cell r="D77" t="str">
            <v>TROPICANA</v>
          </cell>
        </row>
        <row r="78">
          <cell r="C78" t="str">
            <v>VOB1600.35</v>
          </cell>
          <cell r="D78" t="str">
            <v>LIPTON</v>
          </cell>
        </row>
        <row r="79">
          <cell r="C79" t="str">
            <v>VOB1600.40</v>
          </cell>
          <cell r="D79" t="str">
            <v>ALL OTHER NON CSD</v>
          </cell>
        </row>
        <row r="80">
          <cell r="C80" t="str">
            <v>VOB1600.50</v>
          </cell>
          <cell r="D80" t="str">
            <v>OBSOLETE</v>
          </cell>
        </row>
        <row r="82">
          <cell r="C82" t="str">
            <v>VOB1700</v>
          </cell>
          <cell r="D82" t="str">
            <v>BOTTLER CASE SALES - RAW-TOTAL</v>
          </cell>
        </row>
        <row r="84">
          <cell r="C84" t="str">
            <v>VOB2000</v>
          </cell>
          <cell r="D84" t="str">
            <v>CONC UNIT SALES - PHYSICAL-CSD</v>
          </cell>
        </row>
        <row r="85">
          <cell r="C85" t="str">
            <v>VOB2000.10</v>
          </cell>
          <cell r="D85" t="str">
            <v>PEPSI</v>
          </cell>
        </row>
        <row r="86">
          <cell r="C86" t="str">
            <v>VOB2000.10.10</v>
          </cell>
          <cell r="D86" t="str">
            <v>PEPSI REGULAR</v>
          </cell>
        </row>
        <row r="87">
          <cell r="C87" t="str">
            <v>VOB2000.10.20</v>
          </cell>
          <cell r="D87" t="str">
            <v>PEPSI DIET</v>
          </cell>
        </row>
        <row r="88">
          <cell r="C88" t="str">
            <v>VOB2000.10.30</v>
          </cell>
          <cell r="D88" t="str">
            <v>PEPSI MAX</v>
          </cell>
        </row>
        <row r="89">
          <cell r="C89" t="str">
            <v>VOB2000.10.40</v>
          </cell>
          <cell r="D89" t="str">
            <v>PEPSI OTHER</v>
          </cell>
        </row>
        <row r="90">
          <cell r="C90" t="str">
            <v>VOB2000.20</v>
          </cell>
          <cell r="D90" t="str">
            <v>MIRINDA</v>
          </cell>
        </row>
        <row r="91">
          <cell r="C91" t="str">
            <v>VOB2000.20.10</v>
          </cell>
          <cell r="D91" t="str">
            <v>MIRINDA ORANGE</v>
          </cell>
        </row>
        <row r="92">
          <cell r="C92" t="str">
            <v>VOB2000.20.20</v>
          </cell>
          <cell r="D92" t="str">
            <v>MIRINDA FLAVORS</v>
          </cell>
        </row>
        <row r="93">
          <cell r="C93" t="str">
            <v>VOB2000.30</v>
          </cell>
          <cell r="D93" t="str">
            <v>7 UP</v>
          </cell>
        </row>
        <row r="94">
          <cell r="C94" t="str">
            <v>VOB2000.30.10</v>
          </cell>
          <cell r="D94" t="str">
            <v>7 UP REGULAR</v>
          </cell>
        </row>
        <row r="95">
          <cell r="C95" t="str">
            <v>VOB2000.30.20</v>
          </cell>
          <cell r="D95" t="str">
            <v>7 UP DIET</v>
          </cell>
        </row>
        <row r="96">
          <cell r="C96" t="str">
            <v>VOB2000.40</v>
          </cell>
          <cell r="D96" t="str">
            <v>MANZANITA SOL</v>
          </cell>
        </row>
        <row r="97">
          <cell r="C97" t="str">
            <v>VOB2000.45</v>
          </cell>
          <cell r="D97" t="str">
            <v>MOUNTAIN DEW</v>
          </cell>
        </row>
        <row r="98">
          <cell r="C98" t="str">
            <v>VOB2000.50</v>
          </cell>
          <cell r="D98" t="str">
            <v>KAS</v>
          </cell>
        </row>
        <row r="99">
          <cell r="C99" t="str">
            <v>VOB2000.70</v>
          </cell>
          <cell r="D99" t="str">
            <v>ALL OTHER PBI BRANDS -CSD</v>
          </cell>
        </row>
        <row r="101">
          <cell r="C101" t="str">
            <v>VOB2100</v>
          </cell>
          <cell r="D101" t="str">
            <v>CONC UNIT SALES - PHYSICAL-NON CSD</v>
          </cell>
        </row>
        <row r="102">
          <cell r="C102" t="str">
            <v>VOB2100.10</v>
          </cell>
          <cell r="D102" t="str">
            <v>GATORADE</v>
          </cell>
        </row>
        <row r="103">
          <cell r="C103" t="str">
            <v>VOB2100.30</v>
          </cell>
          <cell r="D103" t="str">
            <v>TROPICANA</v>
          </cell>
        </row>
        <row r="104">
          <cell r="C104" t="str">
            <v>VOB2100.35</v>
          </cell>
          <cell r="D104" t="str">
            <v>LIPTON</v>
          </cell>
        </row>
        <row r="105">
          <cell r="C105" t="str">
            <v>VOB2100.36</v>
          </cell>
          <cell r="D105" t="str">
            <v>AQUA MINERALE</v>
          </cell>
        </row>
        <row r="106">
          <cell r="C106" t="str">
            <v>VOB2100.40</v>
          </cell>
          <cell r="D106" t="str">
            <v>ALL OTHER NON CSD</v>
          </cell>
        </row>
        <row r="108">
          <cell r="C108" t="str">
            <v>VOB2200</v>
          </cell>
          <cell r="D108" t="str">
            <v>CONC UNIT SALES - PHYSICAL-TOTAL</v>
          </cell>
        </row>
      </sheetData>
      <sheetData sheetId="19" refreshError="1"/>
      <sheetData sheetId="20" refreshError="1"/>
      <sheetData sheetId="21" refreshError="1"/>
      <sheetData sheetId="22">
        <row r="3">
          <cell r="B3" t="str">
            <v>Asia</v>
          </cell>
          <cell r="E3" t="str">
            <v>Vietnam COBO (649)</v>
          </cell>
          <cell r="G3" t="str">
            <v>PB649VIESNK.USTOT</v>
          </cell>
          <cell r="H3" t="str">
            <v>PB649VIESNK.USADJ</v>
          </cell>
          <cell r="K3">
            <v>2005</v>
          </cell>
          <cell r="M3" t="str">
            <v>Pepsi / Other</v>
          </cell>
          <cell r="O3" t="str">
            <v>June Forecast / Strat Plan</v>
          </cell>
          <cell r="P3" t="str">
            <v>STFCSTA</v>
          </cell>
          <cell r="R3" t="str">
            <v>STPLANA</v>
          </cell>
          <cell r="S3" t="str">
            <v>STPLAN1A</v>
          </cell>
          <cell r="T3" t="str">
            <v>STPLAN2A</v>
          </cell>
        </row>
        <row r="20">
          <cell r="F20" t="b">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posallist"/>
      <sheetName val="Bonus ACS"/>
      <sheetName val="Origine"/>
      <sheetName val="Bonus RPA"/>
      <sheetName val="Comments"/>
      <sheetName val="Affecte noms ds nuages pts"/>
      <sheetName val="LEGEND"/>
      <sheetName val="Mcdo. Gral. 98"/>
      <sheetName val="Bonus_ACS"/>
      <sheetName val="Bonus_RPA"/>
      <sheetName val="Affecte_noms_ds_nuages_pts"/>
      <sheetName val="interpolh"/>
      <sheetName val="Bonus_ACS1"/>
      <sheetName val="Bonus_RPA1"/>
      <sheetName val="Affecte_noms_ds_nuages_pts1"/>
      <sheetName val="Mcdo__Gral__98"/>
      <sheetName val="Bonus_ACS2"/>
      <sheetName val="Bonus_RPA2"/>
      <sheetName val="Affecte_noms_ds_nuages_pts2"/>
      <sheetName val="Mcdo__Gral__981"/>
      <sheetName val="Bonus_ACS4"/>
      <sheetName val="Bonus_RPA4"/>
      <sheetName val="Affecte_noms_ds_nuages_pts4"/>
      <sheetName val="Mcdo__Gral__983"/>
      <sheetName val="Bonus_ACS3"/>
      <sheetName val="Bonus_RPA3"/>
      <sheetName val="Affecte_noms_ds_nuages_pts3"/>
      <sheetName val="Mcdo__Gral__982"/>
    </sheetNames>
    <sheetDataSet>
      <sheetData sheetId="0" refreshError="1"/>
      <sheetData sheetId="1" refreshError="1"/>
      <sheetData sheetId="2" refreshError="1"/>
      <sheetData sheetId="3" refreshError="1">
        <row r="10">
          <cell r="B10">
            <v>3</v>
          </cell>
          <cell r="C10">
            <v>20</v>
          </cell>
          <cell r="D10">
            <v>30</v>
          </cell>
          <cell r="E10">
            <v>52.5</v>
          </cell>
        </row>
        <row r="11">
          <cell r="B11" t="str">
            <v>4A</v>
          </cell>
          <cell r="C11">
            <v>16</v>
          </cell>
          <cell r="D11">
            <v>25</v>
          </cell>
          <cell r="E11">
            <v>43.75</v>
          </cell>
        </row>
        <row r="12">
          <cell r="B12" t="str">
            <v>4B</v>
          </cell>
          <cell r="C12">
            <v>12</v>
          </cell>
          <cell r="D12">
            <v>20</v>
          </cell>
          <cell r="E12">
            <v>35</v>
          </cell>
        </row>
        <row r="13">
          <cell r="B13" t="str">
            <v>5A</v>
          </cell>
          <cell r="C13">
            <v>10</v>
          </cell>
          <cell r="D13">
            <v>15</v>
          </cell>
          <cell r="E13">
            <v>26.25</v>
          </cell>
        </row>
        <row r="14">
          <cell r="B14" t="str">
            <v>5B</v>
          </cell>
          <cell r="C14">
            <v>10</v>
          </cell>
          <cell r="D14">
            <v>15</v>
          </cell>
          <cell r="E14">
            <v>26.25</v>
          </cell>
        </row>
      </sheetData>
      <sheetData sheetId="4" refreshError="1"/>
      <sheetData sheetId="5" refreshError="1"/>
      <sheetData sheetId="6" refreshError="1"/>
      <sheetData sheetId="7" refreshError="1"/>
      <sheetData sheetId="8"/>
      <sheetData sheetId="9">
        <row r="10">
          <cell r="B10">
            <v>3</v>
          </cell>
        </row>
      </sheetData>
      <sheetData sheetId="10"/>
      <sheetData sheetId="11" refreshError="1"/>
      <sheetData sheetId="12"/>
      <sheetData sheetId="13">
        <row r="10">
          <cell r="B10">
            <v>3</v>
          </cell>
        </row>
      </sheetData>
      <sheetData sheetId="14"/>
      <sheetData sheetId="15"/>
      <sheetData sheetId="16"/>
      <sheetData sheetId="17">
        <row r="10">
          <cell r="B10">
            <v>3</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a sin AD"/>
      <sheetName val="Mcdo. Gral. 98"/>
      <sheetName val="MERCADO"/>
      <sheetName val="QD_DL"/>
      <sheetName val="mapa_sin_AD"/>
      <sheetName val="Mcdo__Gral__98"/>
      <sheetName val="mapa_sin_AD1"/>
      <sheetName val="Mcdo__Gral__981"/>
      <sheetName val="mapa_sin_AD2"/>
      <sheetName val="Mcdo__Gral__982"/>
      <sheetName val="mapa_sin_AD4"/>
      <sheetName val="Mcdo__Gral__984"/>
      <sheetName val="mapa_sin_AD3"/>
      <sheetName val="Mcdo__Gral__983"/>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About the model..."/>
      <sheetName val="Notes"/>
      <sheetName val="Assumptions"/>
      <sheetName val="Volume Input"/>
      <sheetName val="Manning"/>
      <sheetName val="Phasing"/>
      <sheetName val="Work Rates"/>
      <sheetName val="Summary - Selected Data Set"/>
      <sheetName val="Chart - Labour Requirements"/>
      <sheetName val="Chart - Labour Phasing"/>
      <sheetName val="Chart - MHE Requirements"/>
      <sheetName val="Summary - by Period"/>
      <sheetName val="Chart - Labour by Period"/>
      <sheetName val="Chart - MHE by Period"/>
      <sheetName val="Summary - Average + Peak"/>
      <sheetName val="Chart - Labour - Average + Peak"/>
      <sheetName val="Chart - MHE - Average + Peak"/>
    </sheetNames>
    <sheetDataSet>
      <sheetData sheetId="0" refreshError="1">
        <row r="1">
          <cell r="B1" t="str">
            <v>[Departmental / Project Ref.]</v>
          </cell>
        </row>
        <row r="3">
          <cell r="B3" t="str">
            <v>[Site]</v>
          </cell>
        </row>
        <row r="16">
          <cell r="B16" t="str">
            <v>v1 - 07/02/2005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110"/>
      <sheetName val="109"/>
      <sheetName val="108"/>
      <sheetName val="108 (2)"/>
      <sheetName val="109 (2)"/>
      <sheetName val="110 (2)"/>
      <sheetName val="Levels 1&amp;2 Q1Q3"/>
      <sheetName val="Classe Aventis"/>
      <sheetName val="Inde"/>
      <sheetName val="Marchés"/>
      <sheetName val="Marché SO USA"/>
      <sheetName val="UK SO"/>
      <sheetName val="Midpoint - Chemical"/>
      <sheetName val="marché Brésil"/>
      <sheetName val="hors FS"/>
      <sheetName val="Stock"/>
      <sheetName val="FS"/>
      <sheetName val="Tables"/>
      <sheetName val="hors FS BDD"/>
      <sheetName val="FS BDD"/>
      <sheetName val="Programme"/>
      <sheetName val="interpol"/>
      <sheetName val="Levels 1&amp;2 sans modicaftion"/>
      <sheetName val="Graph UKSO"/>
      <sheetName val="Total"/>
      <sheetName val="Title"/>
      <sheetName val="DataPilot_Sheet1_1"/>
      <sheetName val="Bonus RPA"/>
      <sheetName val="Levels_1&amp;2_sans_modicaftion"/>
      <sheetName val="hors_FS_BDD"/>
      <sheetName val="FS_BDD"/>
      <sheetName val="Taux de charges"/>
      <sheetName val="QMCT"/>
      <sheetName val="QD_DL"/>
      <sheetName val="108_(2)"/>
      <sheetName val="109_(2)"/>
      <sheetName val="110_(2)"/>
      <sheetName val="Levels_1&amp;2_Q1Q3"/>
      <sheetName val="Classe_Aventis"/>
      <sheetName val="Marché_SO_USA"/>
      <sheetName val="UK_SO"/>
      <sheetName val="Midpoint_-_Chemical"/>
      <sheetName val="marché_Brésil"/>
      <sheetName val="hors_FS"/>
      <sheetName val="Graph_UKSO"/>
      <sheetName val="Bonus_RPA"/>
      <sheetName val="TONGKE3p "/>
      <sheetName val="TDTKP"/>
      <sheetName val="XL4Poppy"/>
      <sheetName val="CHITIET VL-NC-TT1p"/>
      <sheetName val="Sổ kho"/>
      <sheetName val="FS_BDD1"/>
      <sheetName val="hors_FS_BDD1"/>
      <sheetName val="Levels_1&amp;2_sans_modicaftion1"/>
      <sheetName val="FS_BDD2"/>
      <sheetName val="hors_FS_BDD2"/>
      <sheetName val="Levels_1&amp;2_sans_modicaftion2"/>
      <sheetName val="108_(2)1"/>
      <sheetName val="109_(2)1"/>
      <sheetName val="110_(2)1"/>
      <sheetName val="Levels_1&amp;2_Q1Q31"/>
      <sheetName val="Classe_Aventis1"/>
      <sheetName val="Marché_SO_USA1"/>
      <sheetName val="UK_SO1"/>
      <sheetName val="Midpoint_-_Chemical1"/>
      <sheetName val="marché_Brésil1"/>
      <sheetName val="hors_FS1"/>
      <sheetName val="Graph_UKSO1"/>
      <sheetName val="Bonus_RPA1"/>
      <sheetName val="Taux_de_charges"/>
      <sheetName val="Code_SAP"/>
      <sheetName val="108_(2)2"/>
      <sheetName val="109_(2)2"/>
      <sheetName val="110_(2)2"/>
      <sheetName val="Levels_1&amp;2_Q1Q32"/>
      <sheetName val="Classe_Aventis2"/>
      <sheetName val="Marché_SO_USA2"/>
      <sheetName val="UK_SO2"/>
      <sheetName val="Midpoint_-_Chemical2"/>
      <sheetName val="marché_Brésil2"/>
      <sheetName val="hors_FS2"/>
      <sheetName val="Graph_UKSO2"/>
      <sheetName val="Bonus_RPA2"/>
      <sheetName val="Taux_de_charges1"/>
      <sheetName val="108_(2)3"/>
      <sheetName val="109_(2)3"/>
      <sheetName val="110_(2)3"/>
      <sheetName val="Levels_1&amp;2_Q1Q33"/>
      <sheetName val="Classe_Aventis3"/>
      <sheetName val="Marché_SO_USA3"/>
      <sheetName val="UK_SO3"/>
      <sheetName val="Midpoint_-_Chemical3"/>
      <sheetName val="marché_Brésil3"/>
      <sheetName val="hors_FS3"/>
      <sheetName val="hors_FS_BDD3"/>
      <sheetName val="FS_BDD3"/>
      <sheetName val="Levels_1&amp;2_sans_modicaftion3"/>
      <sheetName val="Graph_UKSO3"/>
      <sheetName val="Bonus_RPA3"/>
      <sheetName val="Taux_de_charges2"/>
      <sheetName val="Logic"/>
      <sheetName val="108_(2)5"/>
      <sheetName val="109_(2)5"/>
      <sheetName val="110_(2)5"/>
      <sheetName val="Levels_1&amp;2_Q1Q35"/>
      <sheetName val="Classe_Aventis5"/>
      <sheetName val="Marché_SO_USA5"/>
      <sheetName val="UK_SO5"/>
      <sheetName val="Midpoint_-_Chemical5"/>
      <sheetName val="marché_Brésil5"/>
      <sheetName val="hors_FS5"/>
      <sheetName val="hors_FS_BDD5"/>
      <sheetName val="FS_BDD5"/>
      <sheetName val="Levels_1&amp;2_sans_modicaftion5"/>
      <sheetName val="Graph_UKSO5"/>
      <sheetName val="Bonus_RPA5"/>
      <sheetName val="Taux_de_charges4"/>
      <sheetName val="TONGKE3p_1"/>
      <sheetName val="CHITIET_VL-NC-TT1p1"/>
      <sheetName val="Sổ_kho1"/>
      <sheetName val="108_(2)4"/>
      <sheetName val="109_(2)4"/>
      <sheetName val="110_(2)4"/>
      <sheetName val="Levels_1&amp;2_Q1Q34"/>
      <sheetName val="Classe_Aventis4"/>
      <sheetName val="Marché_SO_USA4"/>
      <sheetName val="UK_SO4"/>
      <sheetName val="Midpoint_-_Chemical4"/>
      <sheetName val="marché_Brésil4"/>
      <sheetName val="hors_FS4"/>
      <sheetName val="hors_FS_BDD4"/>
      <sheetName val="FS_BDD4"/>
      <sheetName val="Levels_1&amp;2_sans_modicaftion4"/>
      <sheetName val="Graph_UKSO4"/>
      <sheetName val="Bonus_RPA4"/>
      <sheetName val="Taux_de_charges3"/>
      <sheetName val="TONGKE3p_"/>
      <sheetName val="CHITIET_VL-NC-TT1p"/>
      <sheetName val="Sổ_kh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D2" t="str">
            <v>Mid-point</v>
          </cell>
          <cell r="I2" t="str">
            <v>P50</v>
          </cell>
          <cell r="N2" t="str">
            <v>P50</v>
          </cell>
        </row>
        <row r="3">
          <cell r="A3" t="str">
            <v>FRANCE AGRO</v>
          </cell>
          <cell r="B3">
            <v>1</v>
          </cell>
        </row>
        <row r="4">
          <cell r="A4" t="str">
            <v>FRANCE AGRO</v>
          </cell>
          <cell r="B4">
            <v>2</v>
          </cell>
        </row>
        <row r="5">
          <cell r="A5" t="str">
            <v>FRANCE AGRO</v>
          </cell>
          <cell r="B5">
            <v>3</v>
          </cell>
        </row>
        <row r="6">
          <cell r="A6" t="str">
            <v>FRANCE AGRO</v>
          </cell>
          <cell r="B6">
            <v>4</v>
          </cell>
        </row>
        <row r="7">
          <cell r="A7" t="str">
            <v>FRANCE AGRO</v>
          </cell>
          <cell r="B7">
            <v>5</v>
          </cell>
        </row>
        <row r="8">
          <cell r="A8" t="str">
            <v>FRANCE AGRO</v>
          </cell>
          <cell r="B8">
            <v>6</v>
          </cell>
        </row>
        <row r="9">
          <cell r="A9" t="str">
            <v>FRANCE AGRO</v>
          </cell>
          <cell r="B9">
            <v>7</v>
          </cell>
        </row>
        <row r="10">
          <cell r="A10" t="str">
            <v>FRANCE R&amp;D</v>
          </cell>
          <cell r="B10">
            <v>8</v>
          </cell>
        </row>
        <row r="11">
          <cell r="A11" t="str">
            <v>FRANCE R&amp;D</v>
          </cell>
          <cell r="B11">
            <v>9</v>
          </cell>
        </row>
        <row r="12">
          <cell r="A12" t="str">
            <v>FRANCE R&amp;D</v>
          </cell>
          <cell r="B12">
            <v>10</v>
          </cell>
        </row>
        <row r="13">
          <cell r="A13" t="str">
            <v>FRANCE R&amp;D</v>
          </cell>
          <cell r="B13">
            <v>11</v>
          </cell>
        </row>
        <row r="14">
          <cell r="A14" t="str">
            <v>FRANCE R&amp;D</v>
          </cell>
          <cell r="B14">
            <v>12</v>
          </cell>
        </row>
        <row r="15">
          <cell r="A15" t="str">
            <v>FRANCE R&amp;D</v>
          </cell>
          <cell r="B15">
            <v>13</v>
          </cell>
        </row>
        <row r="16">
          <cell r="A16" t="str">
            <v>FRANCE R&amp;D</v>
          </cell>
          <cell r="B16">
            <v>14</v>
          </cell>
        </row>
        <row r="17">
          <cell r="A17" t="str">
            <v>CANADA GENERAL</v>
          </cell>
          <cell r="B17">
            <v>15</v>
          </cell>
        </row>
        <row r="18">
          <cell r="A18" t="str">
            <v>CANADA GENERAL</v>
          </cell>
          <cell r="B18">
            <v>16</v>
          </cell>
        </row>
        <row r="19">
          <cell r="A19" t="str">
            <v>CANADA GENERAL</v>
          </cell>
          <cell r="B19">
            <v>17</v>
          </cell>
        </row>
        <row r="20">
          <cell r="A20" t="str">
            <v>CANADA GENERAL</v>
          </cell>
          <cell r="B20">
            <v>18</v>
          </cell>
        </row>
        <row r="21">
          <cell r="A21" t="str">
            <v>CANADA GENERAL</v>
          </cell>
          <cell r="B21">
            <v>19</v>
          </cell>
        </row>
        <row r="22">
          <cell r="A22" t="str">
            <v>CANADA GENERAL</v>
          </cell>
          <cell r="B22">
            <v>20</v>
          </cell>
        </row>
        <row r="23">
          <cell r="A23" t="str">
            <v>CANADA GENERAL</v>
          </cell>
          <cell r="B23">
            <v>21</v>
          </cell>
        </row>
        <row r="24">
          <cell r="A24" t="str">
            <v>AUSTRALIA GENERAL</v>
          </cell>
          <cell r="B24">
            <v>22</v>
          </cell>
        </row>
        <row r="25">
          <cell r="A25" t="str">
            <v>AUSTRALIA GENERAL</v>
          </cell>
          <cell r="B25">
            <v>23</v>
          </cell>
        </row>
        <row r="26">
          <cell r="A26" t="str">
            <v>AUSTRALIA GENERAL</v>
          </cell>
          <cell r="B26">
            <v>24</v>
          </cell>
        </row>
        <row r="27">
          <cell r="A27" t="str">
            <v>AUSTRALIA GENERAL</v>
          </cell>
          <cell r="B27">
            <v>25</v>
          </cell>
        </row>
        <row r="28">
          <cell r="A28" t="str">
            <v>AUSTRALIA GENERAL</v>
          </cell>
          <cell r="B28">
            <v>26</v>
          </cell>
        </row>
        <row r="29">
          <cell r="A29" t="str">
            <v>AUSTRALIA GENERAL</v>
          </cell>
          <cell r="B29">
            <v>27</v>
          </cell>
        </row>
        <row r="30">
          <cell r="A30" t="str">
            <v>AUSTRALIA GENERAL</v>
          </cell>
          <cell r="B30">
            <v>28</v>
          </cell>
        </row>
        <row r="31">
          <cell r="A31" t="str">
            <v>BELGIUM GENERAL</v>
          </cell>
          <cell r="B31">
            <v>29</v>
          </cell>
        </row>
        <row r="32">
          <cell r="A32" t="str">
            <v>BELGIUM GENERAL</v>
          </cell>
          <cell r="B32">
            <v>30</v>
          </cell>
        </row>
        <row r="33">
          <cell r="A33" t="str">
            <v>BELGIUM GENERAL</v>
          </cell>
          <cell r="B33">
            <v>31</v>
          </cell>
        </row>
        <row r="34">
          <cell r="A34" t="str">
            <v>BELGIUM GENERAL</v>
          </cell>
          <cell r="B34">
            <v>32</v>
          </cell>
        </row>
        <row r="35">
          <cell r="A35" t="str">
            <v>BELGIUM GENERAL</v>
          </cell>
          <cell r="B35">
            <v>33</v>
          </cell>
        </row>
        <row r="36">
          <cell r="A36" t="str">
            <v>BELGIUM GENERAL</v>
          </cell>
          <cell r="B36">
            <v>34</v>
          </cell>
        </row>
        <row r="37">
          <cell r="A37" t="str">
            <v>BELGIUM GENERAL</v>
          </cell>
          <cell r="B37">
            <v>35</v>
          </cell>
        </row>
        <row r="38">
          <cell r="A38" t="str">
            <v>GERMANY CHEMICALS</v>
          </cell>
          <cell r="B38">
            <v>36</v>
          </cell>
        </row>
        <row r="39">
          <cell r="A39" t="str">
            <v>GERMANY CHEMICALS</v>
          </cell>
          <cell r="B39">
            <v>37</v>
          </cell>
        </row>
        <row r="40">
          <cell r="A40" t="str">
            <v>GERMANY CHEMICALS</v>
          </cell>
          <cell r="B40">
            <v>38</v>
          </cell>
        </row>
        <row r="41">
          <cell r="A41" t="str">
            <v>GERMANY CHEMICALS</v>
          </cell>
          <cell r="B41">
            <v>39</v>
          </cell>
        </row>
        <row r="42">
          <cell r="A42" t="str">
            <v>GERMANY CHEMICALS</v>
          </cell>
          <cell r="B42">
            <v>40</v>
          </cell>
        </row>
        <row r="43">
          <cell r="A43" t="str">
            <v>GERMANY CHEMICALS</v>
          </cell>
          <cell r="B43">
            <v>41</v>
          </cell>
        </row>
        <row r="44">
          <cell r="A44" t="str">
            <v>GERMANY CHEMICALS</v>
          </cell>
          <cell r="B44">
            <v>42</v>
          </cell>
        </row>
        <row r="45">
          <cell r="A45" t="str">
            <v>GERMANY R&amp;D</v>
          </cell>
          <cell r="B45">
            <v>43</v>
          </cell>
        </row>
        <row r="46">
          <cell r="A46" t="str">
            <v>GERMANY R&amp;D</v>
          </cell>
          <cell r="B46">
            <v>44</v>
          </cell>
        </row>
        <row r="47">
          <cell r="A47" t="str">
            <v>GERMANY R&amp;D</v>
          </cell>
          <cell r="B47">
            <v>45</v>
          </cell>
        </row>
        <row r="48">
          <cell r="A48" t="str">
            <v>GERMANY R&amp;D</v>
          </cell>
          <cell r="B48">
            <v>46</v>
          </cell>
        </row>
        <row r="49">
          <cell r="A49" t="str">
            <v>GERMANY R&amp;D</v>
          </cell>
          <cell r="B49">
            <v>47</v>
          </cell>
        </row>
        <row r="50">
          <cell r="A50" t="str">
            <v>GERMANY R&amp;D</v>
          </cell>
          <cell r="B50">
            <v>48</v>
          </cell>
        </row>
        <row r="51">
          <cell r="A51" t="str">
            <v>GERMANY R&amp;D</v>
          </cell>
          <cell r="B51">
            <v>49</v>
          </cell>
        </row>
        <row r="52">
          <cell r="A52" t="str">
            <v>SPAIN GENERAL</v>
          </cell>
          <cell r="B52">
            <v>50</v>
          </cell>
        </row>
        <row r="53">
          <cell r="A53" t="str">
            <v>SPAIN GENERAL</v>
          </cell>
          <cell r="B53">
            <v>51</v>
          </cell>
        </row>
        <row r="54">
          <cell r="A54" t="str">
            <v>SPAIN GENERAL</v>
          </cell>
          <cell r="B54">
            <v>52</v>
          </cell>
        </row>
        <row r="55">
          <cell r="A55" t="str">
            <v>SPAIN GENERAL</v>
          </cell>
          <cell r="B55">
            <v>53</v>
          </cell>
        </row>
        <row r="56">
          <cell r="A56" t="str">
            <v>SPAIN GENERAL</v>
          </cell>
          <cell r="B56">
            <v>54</v>
          </cell>
        </row>
        <row r="57">
          <cell r="A57" t="str">
            <v>SPAIN GENERAL</v>
          </cell>
          <cell r="B57">
            <v>55</v>
          </cell>
        </row>
        <row r="58">
          <cell r="A58" t="str">
            <v>UK CHEMICALS</v>
          </cell>
          <cell r="B58">
            <v>56</v>
          </cell>
        </row>
        <row r="59">
          <cell r="A59" t="str">
            <v>UK CHEMICALS</v>
          </cell>
          <cell r="B59">
            <v>57</v>
          </cell>
        </row>
        <row r="60">
          <cell r="A60" t="str">
            <v>UK CHEMICALS</v>
          </cell>
          <cell r="B60">
            <v>58</v>
          </cell>
        </row>
        <row r="61">
          <cell r="A61" t="str">
            <v>UK CHEMICALS</v>
          </cell>
          <cell r="B61">
            <v>59</v>
          </cell>
        </row>
        <row r="62">
          <cell r="A62" t="str">
            <v>UK CHEMICALS</v>
          </cell>
          <cell r="B62">
            <v>60</v>
          </cell>
        </row>
        <row r="63">
          <cell r="A63" t="str">
            <v>UK CHEMICALS</v>
          </cell>
          <cell r="B63">
            <v>61</v>
          </cell>
        </row>
        <row r="64">
          <cell r="A64" t="str">
            <v>UK CHEMICALS</v>
          </cell>
          <cell r="B64">
            <v>62</v>
          </cell>
        </row>
        <row r="65">
          <cell r="A65" t="str">
            <v>UK R&amp;D</v>
          </cell>
          <cell r="B65">
            <v>63</v>
          </cell>
        </row>
        <row r="66">
          <cell r="A66" t="str">
            <v>UK R&amp;D</v>
          </cell>
          <cell r="B66">
            <v>64</v>
          </cell>
        </row>
        <row r="67">
          <cell r="A67" t="str">
            <v>UK R&amp;D</v>
          </cell>
          <cell r="B67">
            <v>65</v>
          </cell>
        </row>
        <row r="68">
          <cell r="A68" t="str">
            <v>UK R&amp;D</v>
          </cell>
          <cell r="B68">
            <v>66</v>
          </cell>
        </row>
        <row r="69">
          <cell r="A69" t="str">
            <v>UK R&amp;D</v>
          </cell>
          <cell r="B69">
            <v>67</v>
          </cell>
        </row>
        <row r="70">
          <cell r="A70" t="str">
            <v>UK R&amp;D</v>
          </cell>
          <cell r="B70">
            <v>68</v>
          </cell>
        </row>
        <row r="71">
          <cell r="A71" t="str">
            <v>UK R&amp;D</v>
          </cell>
          <cell r="B71">
            <v>69</v>
          </cell>
        </row>
        <row r="72">
          <cell r="A72" t="str">
            <v>ITALY GENERAL</v>
          </cell>
          <cell r="B72">
            <v>70</v>
          </cell>
        </row>
        <row r="73">
          <cell r="A73" t="str">
            <v>ITALY GENERAL</v>
          </cell>
          <cell r="B73">
            <v>71</v>
          </cell>
        </row>
        <row r="74">
          <cell r="A74" t="str">
            <v>ITALY GENERAL</v>
          </cell>
          <cell r="B74">
            <v>72</v>
          </cell>
        </row>
        <row r="75">
          <cell r="A75" t="str">
            <v>ITALY GENERAL</v>
          </cell>
          <cell r="B75">
            <v>73</v>
          </cell>
        </row>
        <row r="76">
          <cell r="A76" t="str">
            <v>ITALY GENERAL</v>
          </cell>
          <cell r="B76">
            <v>74</v>
          </cell>
        </row>
        <row r="77">
          <cell r="A77" t="str">
            <v>ITALY GENERAL</v>
          </cell>
          <cell r="B77">
            <v>75</v>
          </cell>
        </row>
        <row r="78">
          <cell r="A78" t="str">
            <v>ITALY GENERAL</v>
          </cell>
          <cell r="B78">
            <v>76</v>
          </cell>
        </row>
        <row r="79">
          <cell r="A79" t="str">
            <v>MALAYSIA GENERAL</v>
          </cell>
          <cell r="B79">
            <v>77</v>
          </cell>
        </row>
        <row r="80">
          <cell r="A80" t="str">
            <v>MALAYSIA GENERAL</v>
          </cell>
          <cell r="B80">
            <v>78</v>
          </cell>
        </row>
        <row r="81">
          <cell r="A81" t="str">
            <v>MALAYSIA GENERAL</v>
          </cell>
          <cell r="B81">
            <v>79</v>
          </cell>
        </row>
        <row r="82">
          <cell r="A82" t="str">
            <v>MALAYSIA GENERAL</v>
          </cell>
          <cell r="B82">
            <v>80</v>
          </cell>
        </row>
        <row r="83">
          <cell r="A83" t="str">
            <v>MALAYSIA GENERAL</v>
          </cell>
          <cell r="B83">
            <v>81</v>
          </cell>
        </row>
        <row r="84">
          <cell r="A84" t="str">
            <v>NETHERLANDS GENERAL</v>
          </cell>
          <cell r="B84">
            <v>82</v>
          </cell>
        </row>
        <row r="85">
          <cell r="A85" t="str">
            <v>NETHERLANDS GENERAL</v>
          </cell>
          <cell r="B85">
            <v>83</v>
          </cell>
        </row>
        <row r="86">
          <cell r="A86" t="str">
            <v>NETHERLANDS GENERAL</v>
          </cell>
          <cell r="B86">
            <v>84</v>
          </cell>
        </row>
        <row r="87">
          <cell r="A87" t="str">
            <v>NETHERLANDS GENERAL</v>
          </cell>
          <cell r="B87">
            <v>85</v>
          </cell>
        </row>
        <row r="88">
          <cell r="A88" t="str">
            <v>NETHERLANDS GENERAL</v>
          </cell>
          <cell r="B88">
            <v>86</v>
          </cell>
        </row>
        <row r="89">
          <cell r="A89" t="str">
            <v>NETHERLANDS GENERAL</v>
          </cell>
          <cell r="B89">
            <v>87</v>
          </cell>
        </row>
        <row r="90">
          <cell r="A90" t="str">
            <v>NETHERLANDS GENERAL</v>
          </cell>
          <cell r="B90">
            <v>88</v>
          </cell>
        </row>
        <row r="91">
          <cell r="A91" t="str">
            <v>USA CHEMICALS</v>
          </cell>
          <cell r="B91">
            <v>89</v>
          </cell>
        </row>
        <row r="92">
          <cell r="A92" t="str">
            <v>USA CHEMICALS</v>
          </cell>
          <cell r="B92">
            <v>90</v>
          </cell>
        </row>
        <row r="93">
          <cell r="A93" t="str">
            <v>USA CHEMICALS</v>
          </cell>
          <cell r="B93">
            <v>91</v>
          </cell>
        </row>
        <row r="94">
          <cell r="A94" t="str">
            <v>USA CHEMICALS</v>
          </cell>
          <cell r="B94">
            <v>92</v>
          </cell>
        </row>
        <row r="95">
          <cell r="A95" t="str">
            <v>USA CHEMICALS</v>
          </cell>
          <cell r="B95">
            <v>93</v>
          </cell>
        </row>
        <row r="96">
          <cell r="A96" t="str">
            <v>USA CHEMICALS</v>
          </cell>
          <cell r="B96">
            <v>94</v>
          </cell>
        </row>
        <row r="97">
          <cell r="A97" t="str">
            <v>USA CHEMICALS</v>
          </cell>
          <cell r="B97">
            <v>95</v>
          </cell>
        </row>
        <row r="98">
          <cell r="A98" t="str">
            <v>BRAZIL CHEMICALS</v>
          </cell>
          <cell r="B98">
            <v>96</v>
          </cell>
        </row>
        <row r="99">
          <cell r="A99" t="str">
            <v>BRAZIL CHEMICALS</v>
          </cell>
          <cell r="B99">
            <v>97</v>
          </cell>
        </row>
        <row r="100">
          <cell r="A100" t="str">
            <v>BRAZIL CHEMICALS</v>
          </cell>
          <cell r="B100">
            <v>98</v>
          </cell>
        </row>
        <row r="101">
          <cell r="A101" t="str">
            <v>BRAZIL CHEMICALS</v>
          </cell>
          <cell r="B101">
            <v>99</v>
          </cell>
        </row>
        <row r="102">
          <cell r="A102" t="str">
            <v>BRAZIL CHEMICALS</v>
          </cell>
          <cell r="B102">
            <v>100</v>
          </cell>
        </row>
        <row r="103">
          <cell r="A103" t="str">
            <v>BRAZIL CHEMICALS</v>
          </cell>
          <cell r="B103">
            <v>101</v>
          </cell>
        </row>
        <row r="104">
          <cell r="A104" t="str">
            <v>BRAZIL CHEMICALS</v>
          </cell>
          <cell r="B104">
            <v>102</v>
          </cell>
        </row>
        <row r="105">
          <cell r="A105" t="str">
            <v>USA R&amp;D</v>
          </cell>
          <cell r="B105">
            <v>103</v>
          </cell>
        </row>
        <row r="106">
          <cell r="A106" t="str">
            <v>USA R&amp;D</v>
          </cell>
          <cell r="B106">
            <v>104</v>
          </cell>
        </row>
        <row r="107">
          <cell r="A107" t="str">
            <v>USA R&amp;D</v>
          </cell>
          <cell r="B107">
            <v>105</v>
          </cell>
        </row>
        <row r="108">
          <cell r="A108" t="str">
            <v>USA R&amp;D</v>
          </cell>
          <cell r="B108">
            <v>106</v>
          </cell>
        </row>
        <row r="109">
          <cell r="A109" t="str">
            <v>USA R&amp;D</v>
          </cell>
          <cell r="B109">
            <v>107</v>
          </cell>
        </row>
        <row r="110">
          <cell r="A110" t="str">
            <v>USA R&amp;D</v>
          </cell>
          <cell r="B110">
            <v>108</v>
          </cell>
        </row>
        <row r="111">
          <cell r="A111" t="str">
            <v>USA R&amp;D</v>
          </cell>
          <cell r="B111">
            <v>109</v>
          </cell>
        </row>
      </sheetData>
      <sheetData sheetId="11" refreshError="1"/>
      <sheetData sheetId="12" refreshError="1"/>
      <sheetData sheetId="13" refreshError="1"/>
      <sheetData sheetId="14" refreshError="1"/>
      <sheetData sheetId="15" refreshError="1"/>
      <sheetData sheetId="16" refreshError="1">
        <row r="1">
          <cell r="C1" t="str">
            <v>Mid-point</v>
          </cell>
          <cell r="D1" t="str">
            <v>% élus</v>
          </cell>
          <cell r="E1" t="str">
            <v>Méd.</v>
          </cell>
        </row>
        <row r="2">
          <cell r="A2" t="str">
            <v>FRANCE AGRO</v>
          </cell>
          <cell r="B2">
            <v>1</v>
          </cell>
        </row>
        <row r="3">
          <cell r="A3" t="str">
            <v>FRANCE AGRO</v>
          </cell>
          <cell r="B3">
            <v>2</v>
          </cell>
        </row>
        <row r="4">
          <cell r="A4" t="str">
            <v>FRANCE AGRO</v>
          </cell>
          <cell r="B4">
            <v>3</v>
          </cell>
        </row>
        <row r="5">
          <cell r="A5" t="str">
            <v>FRANCE AGRO</v>
          </cell>
          <cell r="B5">
            <v>4</v>
          </cell>
        </row>
        <row r="6">
          <cell r="A6" t="str">
            <v>FRANCE AGRO</v>
          </cell>
          <cell r="B6">
            <v>5</v>
          </cell>
        </row>
        <row r="7">
          <cell r="A7" t="str">
            <v>FRANCE AGRO</v>
          </cell>
          <cell r="B7">
            <v>6</v>
          </cell>
        </row>
        <row r="8">
          <cell r="A8" t="str">
            <v>FRANCE AGRO</v>
          </cell>
          <cell r="B8">
            <v>7</v>
          </cell>
        </row>
        <row r="9">
          <cell r="A9" t="str">
            <v>FRANCE AGRO</v>
          </cell>
          <cell r="B9">
            <v>8</v>
          </cell>
        </row>
        <row r="10">
          <cell r="A10" t="str">
            <v>FRANCE AGRO</v>
          </cell>
          <cell r="B10">
            <v>9</v>
          </cell>
        </row>
        <row r="11">
          <cell r="A11" t="str">
            <v>FRANCE AGRO</v>
          </cell>
          <cell r="B11">
            <v>10</v>
          </cell>
        </row>
        <row r="12">
          <cell r="A12" t="str">
            <v>FRANCE R&amp;D</v>
          </cell>
          <cell r="B12">
            <v>11</v>
          </cell>
        </row>
        <row r="13">
          <cell r="A13" t="str">
            <v>FRANCE R&amp;D</v>
          </cell>
          <cell r="B13">
            <v>12</v>
          </cell>
        </row>
        <row r="14">
          <cell r="A14" t="str">
            <v>FRANCE R&amp;D</v>
          </cell>
          <cell r="B14">
            <v>13</v>
          </cell>
        </row>
        <row r="15">
          <cell r="A15" t="str">
            <v>FRANCE R&amp;D</v>
          </cell>
          <cell r="B15">
            <v>14</v>
          </cell>
        </row>
        <row r="16">
          <cell r="A16" t="str">
            <v>FRANCE R&amp;D</v>
          </cell>
          <cell r="B16">
            <v>15</v>
          </cell>
        </row>
        <row r="17">
          <cell r="A17" t="str">
            <v>FRANCE R&amp;D</v>
          </cell>
          <cell r="B17">
            <v>16</v>
          </cell>
        </row>
        <row r="18">
          <cell r="A18" t="str">
            <v>FRANCE R&amp;D</v>
          </cell>
          <cell r="B18">
            <v>17</v>
          </cell>
        </row>
        <row r="19">
          <cell r="A19" t="str">
            <v>FRANCE R&amp;D</v>
          </cell>
          <cell r="B19">
            <v>18</v>
          </cell>
        </row>
        <row r="20">
          <cell r="A20" t="str">
            <v>FRANCE R&amp;D</v>
          </cell>
          <cell r="B20">
            <v>19</v>
          </cell>
        </row>
        <row r="21">
          <cell r="A21" t="str">
            <v>FRANCE R&amp;D</v>
          </cell>
          <cell r="B21">
            <v>20</v>
          </cell>
        </row>
        <row r="22">
          <cell r="A22" t="str">
            <v>Canada GENERAL</v>
          </cell>
          <cell r="B22">
            <v>21</v>
          </cell>
        </row>
        <row r="23">
          <cell r="A23" t="str">
            <v>Canada GENERAL</v>
          </cell>
          <cell r="B23">
            <v>22</v>
          </cell>
        </row>
        <row r="24">
          <cell r="A24" t="str">
            <v>Canada GENERAL</v>
          </cell>
          <cell r="B24">
            <v>23</v>
          </cell>
        </row>
        <row r="25">
          <cell r="A25" t="str">
            <v>Canada GENERAL</v>
          </cell>
          <cell r="B25">
            <v>24</v>
          </cell>
        </row>
        <row r="26">
          <cell r="A26" t="str">
            <v>Canada GENERAL</v>
          </cell>
          <cell r="B26">
            <v>25</v>
          </cell>
        </row>
        <row r="27">
          <cell r="A27" t="str">
            <v>Canada GENERAL</v>
          </cell>
          <cell r="B27">
            <v>26</v>
          </cell>
        </row>
        <row r="28">
          <cell r="A28" t="str">
            <v>Canada GENERAL</v>
          </cell>
          <cell r="B28">
            <v>27</v>
          </cell>
        </row>
        <row r="29">
          <cell r="A29" t="str">
            <v>Canada GENERAL</v>
          </cell>
          <cell r="B29">
            <v>28</v>
          </cell>
        </row>
        <row r="30">
          <cell r="A30" t="str">
            <v>Canada GENERAL</v>
          </cell>
          <cell r="B30">
            <v>29</v>
          </cell>
        </row>
        <row r="31">
          <cell r="A31" t="str">
            <v>Canada GENERAL</v>
          </cell>
          <cell r="B31">
            <v>30</v>
          </cell>
        </row>
        <row r="32">
          <cell r="A32" t="str">
            <v>Canada GENERAL</v>
          </cell>
          <cell r="B32">
            <v>31</v>
          </cell>
        </row>
        <row r="33">
          <cell r="A33" t="str">
            <v>Canada GENERAL</v>
          </cell>
          <cell r="B33">
            <v>32</v>
          </cell>
        </row>
        <row r="34">
          <cell r="A34" t="str">
            <v>Canada GENERAL</v>
          </cell>
          <cell r="B34">
            <v>33</v>
          </cell>
        </row>
        <row r="35">
          <cell r="A35" t="str">
            <v>AUSTRALIA GENERAL</v>
          </cell>
          <cell r="B35">
            <v>34</v>
          </cell>
        </row>
        <row r="36">
          <cell r="A36" t="str">
            <v>BELGIUM GENERAL</v>
          </cell>
          <cell r="B36">
            <v>35</v>
          </cell>
        </row>
        <row r="37">
          <cell r="A37" t="str">
            <v>GERMANY CHEMICALS</v>
          </cell>
          <cell r="B37">
            <v>36</v>
          </cell>
        </row>
        <row r="38">
          <cell r="A38" t="str">
            <v>GERMANY R&amp;D</v>
          </cell>
          <cell r="B38">
            <v>37</v>
          </cell>
        </row>
        <row r="39">
          <cell r="A39" t="str">
            <v>SPAIN GENERAL</v>
          </cell>
          <cell r="B39">
            <v>38</v>
          </cell>
        </row>
        <row r="40">
          <cell r="A40" t="str">
            <v>UK CHEMICALS</v>
          </cell>
          <cell r="B40">
            <v>39</v>
          </cell>
        </row>
        <row r="41">
          <cell r="A41" t="str">
            <v>UK R&amp;D</v>
          </cell>
          <cell r="B41">
            <v>40</v>
          </cell>
        </row>
        <row r="42">
          <cell r="A42" t="str">
            <v>ITALY GENERAL</v>
          </cell>
          <cell r="B42">
            <v>41</v>
          </cell>
        </row>
        <row r="43">
          <cell r="A43" t="str">
            <v>ITALY GENERAL</v>
          </cell>
          <cell r="B43">
            <v>42</v>
          </cell>
        </row>
        <row r="44">
          <cell r="A44" t="str">
            <v>NETHERLANDS GENERAL</v>
          </cell>
          <cell r="B44">
            <v>43</v>
          </cell>
        </row>
        <row r="45">
          <cell r="A45" t="str">
            <v>USA CHEMICALS</v>
          </cell>
          <cell r="B45">
            <v>44</v>
          </cell>
        </row>
        <row r="46">
          <cell r="A46" t="str">
            <v>BRAZIL CHEMICALS</v>
          </cell>
          <cell r="B46">
            <v>45</v>
          </cell>
        </row>
        <row r="47">
          <cell r="A47" t="str">
            <v>USA R&amp;D</v>
          </cell>
          <cell r="B47">
            <v>46</v>
          </cell>
        </row>
      </sheetData>
      <sheetData sheetId="17" refreshError="1"/>
      <sheetData sheetId="18" refreshError="1">
        <row r="3">
          <cell r="A3" t="str">
            <v>AUD</v>
          </cell>
          <cell r="B3" t="str">
            <v>AUSTRALIA GENERAL</v>
          </cell>
          <cell r="C3">
            <v>22</v>
          </cell>
          <cell r="D3">
            <v>7</v>
          </cell>
          <cell r="E3">
            <v>34</v>
          </cell>
          <cell r="F3">
            <v>1</v>
          </cell>
          <cell r="G3">
            <v>1.6876899999999999</v>
          </cell>
        </row>
        <row r="4">
          <cell r="A4" t="str">
            <v>BEF</v>
          </cell>
          <cell r="B4" t="str">
            <v>BELGIUM GENERAL</v>
          </cell>
          <cell r="C4">
            <v>29</v>
          </cell>
          <cell r="D4">
            <v>7</v>
          </cell>
          <cell r="E4">
            <v>35</v>
          </cell>
          <cell r="F4">
            <v>1</v>
          </cell>
          <cell r="G4">
            <v>40.3399</v>
          </cell>
        </row>
        <row r="5">
          <cell r="A5" t="str">
            <v>BRL</v>
          </cell>
          <cell r="B5" t="str">
            <v>BRAZIL CHEMICALS</v>
          </cell>
          <cell r="C5">
            <v>96</v>
          </cell>
          <cell r="D5">
            <v>7</v>
          </cell>
          <cell r="E5">
            <v>45</v>
          </cell>
          <cell r="F5">
            <v>1</v>
          </cell>
          <cell r="G5">
            <v>1.8088299999999999</v>
          </cell>
        </row>
        <row r="6">
          <cell r="A6" t="str">
            <v>CAD</v>
          </cell>
          <cell r="B6" t="str">
            <v>CANADA GENERAL</v>
          </cell>
          <cell r="C6">
            <v>15</v>
          </cell>
          <cell r="D6">
            <v>7</v>
          </cell>
          <cell r="E6">
            <v>21</v>
          </cell>
          <cell r="F6">
            <v>13</v>
          </cell>
          <cell r="G6">
            <v>1.3759699999999999</v>
          </cell>
        </row>
        <row r="7">
          <cell r="A7" t="str">
            <v>DEM</v>
          </cell>
          <cell r="B7" t="str">
            <v>GERMANY CHEMICALS</v>
          </cell>
          <cell r="C7">
            <v>36</v>
          </cell>
          <cell r="D7">
            <v>7</v>
          </cell>
          <cell r="E7">
            <v>36</v>
          </cell>
          <cell r="F7">
            <v>1</v>
          </cell>
          <cell r="G7">
            <v>1.95583</v>
          </cell>
        </row>
        <row r="8">
          <cell r="A8" t="str">
            <v>DEM R&amp;D</v>
          </cell>
          <cell r="B8" t="str">
            <v>GERMANY R&amp;D</v>
          </cell>
          <cell r="C8">
            <v>43</v>
          </cell>
          <cell r="D8">
            <v>7</v>
          </cell>
          <cell r="E8">
            <v>37</v>
          </cell>
          <cell r="F8">
            <v>1</v>
          </cell>
          <cell r="G8">
            <v>1.95583</v>
          </cell>
        </row>
        <row r="9">
          <cell r="A9" t="str">
            <v>ESP</v>
          </cell>
          <cell r="B9" t="str">
            <v>SPAIN GENERAL</v>
          </cell>
          <cell r="C9">
            <v>50</v>
          </cell>
          <cell r="D9">
            <v>6</v>
          </cell>
          <cell r="E9">
            <v>38</v>
          </cell>
          <cell r="F9">
            <v>1</v>
          </cell>
          <cell r="G9">
            <v>166.386</v>
          </cell>
        </row>
        <row r="10">
          <cell r="A10" t="str">
            <v>FRF</v>
          </cell>
          <cell r="B10" t="str">
            <v>FRANCE AGRO</v>
          </cell>
          <cell r="C10">
            <v>1</v>
          </cell>
          <cell r="D10">
            <v>7</v>
          </cell>
          <cell r="E10">
            <v>1</v>
          </cell>
          <cell r="F10">
            <v>10</v>
          </cell>
          <cell r="G10">
            <v>6.5595699999999999</v>
          </cell>
        </row>
        <row r="11">
          <cell r="A11" t="str">
            <v>FRF R&amp;D</v>
          </cell>
          <cell r="B11" t="str">
            <v>FRANCE R&amp;D</v>
          </cell>
          <cell r="C11">
            <v>8</v>
          </cell>
          <cell r="D11">
            <v>7</v>
          </cell>
          <cell r="E11">
            <v>11</v>
          </cell>
          <cell r="F11">
            <v>10</v>
          </cell>
          <cell r="G11">
            <v>6.5595699999999999</v>
          </cell>
        </row>
        <row r="12">
          <cell r="A12" t="str">
            <v>GBP</v>
          </cell>
          <cell r="B12" t="str">
            <v>UK CHEMICALS</v>
          </cell>
          <cell r="C12">
            <v>56</v>
          </cell>
          <cell r="D12">
            <v>7</v>
          </cell>
          <cell r="E12">
            <v>39</v>
          </cell>
          <cell r="F12">
            <v>1</v>
          </cell>
          <cell r="G12">
            <v>0.62865000000000004</v>
          </cell>
        </row>
        <row r="13">
          <cell r="A13" t="str">
            <v>GBP R&amp;D</v>
          </cell>
          <cell r="B13" t="str">
            <v>UK R&amp;D</v>
          </cell>
          <cell r="C13">
            <v>63</v>
          </cell>
          <cell r="D13">
            <v>7</v>
          </cell>
          <cell r="E13">
            <v>40</v>
          </cell>
          <cell r="F13">
            <v>1</v>
          </cell>
          <cell r="G13">
            <v>0.62865000000000004</v>
          </cell>
        </row>
        <row r="14">
          <cell r="A14" t="str">
            <v>INR/DEM</v>
          </cell>
          <cell r="B14">
            <v>0</v>
          </cell>
          <cell r="C14" t="e">
            <v>#N/A</v>
          </cell>
          <cell r="D14">
            <v>0</v>
          </cell>
          <cell r="E14" t="e">
            <v>#N/A</v>
          </cell>
          <cell r="F14">
            <v>106</v>
          </cell>
        </row>
        <row r="15">
          <cell r="A15" t="str">
            <v>ITL</v>
          </cell>
          <cell r="B15" t="str">
            <v>ITALY GENERAL</v>
          </cell>
          <cell r="C15">
            <v>70</v>
          </cell>
          <cell r="D15">
            <v>7</v>
          </cell>
          <cell r="E15">
            <v>41</v>
          </cell>
          <cell r="F15">
            <v>2</v>
          </cell>
          <cell r="G15">
            <v>1936.27</v>
          </cell>
        </row>
        <row r="16">
          <cell r="A16" t="str">
            <v>MYR</v>
          </cell>
          <cell r="B16" t="str">
            <v>MALAYSIA GENERAL</v>
          </cell>
          <cell r="C16">
            <v>77</v>
          </cell>
          <cell r="D16">
            <v>5</v>
          </cell>
          <cell r="E16" t="e">
            <v>#N/A</v>
          </cell>
          <cell r="F16">
            <v>0</v>
          </cell>
          <cell r="G16">
            <v>3.4833599999999998</v>
          </cell>
        </row>
        <row r="17">
          <cell r="A17" t="str">
            <v>NLG</v>
          </cell>
          <cell r="B17" t="str">
            <v>NETHERLANDS GENERAL</v>
          </cell>
          <cell r="C17">
            <v>82</v>
          </cell>
          <cell r="D17">
            <v>7</v>
          </cell>
          <cell r="E17">
            <v>43</v>
          </cell>
          <cell r="F17">
            <v>1</v>
          </cell>
          <cell r="G17">
            <v>2.2037100000000001</v>
          </cell>
        </row>
        <row r="18">
          <cell r="A18" t="str">
            <v>USD</v>
          </cell>
          <cell r="B18" t="str">
            <v>USA CHEMICALS</v>
          </cell>
          <cell r="C18">
            <v>89</v>
          </cell>
          <cell r="D18">
            <v>7</v>
          </cell>
          <cell r="E18">
            <v>44</v>
          </cell>
          <cell r="F18">
            <v>1</v>
          </cell>
          <cell r="G18">
            <v>0.91678999999999999</v>
          </cell>
        </row>
        <row r="19">
          <cell r="A19" t="str">
            <v>USD R&amp;D</v>
          </cell>
          <cell r="B19" t="str">
            <v>USA R&amp;D</v>
          </cell>
          <cell r="C19">
            <v>103</v>
          </cell>
          <cell r="D19">
            <v>7</v>
          </cell>
          <cell r="E19">
            <v>46</v>
          </cell>
          <cell r="F19">
            <v>1</v>
          </cell>
          <cell r="G19">
            <v>0.91678999999999999</v>
          </cell>
        </row>
        <row r="21">
          <cell r="A21">
            <v>0</v>
          </cell>
          <cell r="B21" t="str">
            <v>××</v>
          </cell>
        </row>
        <row r="22">
          <cell r="A22">
            <v>0.6</v>
          </cell>
          <cell r="B22" t="str">
            <v>×</v>
          </cell>
        </row>
        <row r="23">
          <cell r="A23">
            <v>0.8</v>
          </cell>
          <cell r="B23" t="str">
            <v xml:space="preserve"> </v>
          </cell>
        </row>
        <row r="24">
          <cell r="A24">
            <v>1.2</v>
          </cell>
          <cell r="B24" t="str">
            <v>Ø</v>
          </cell>
        </row>
        <row r="25">
          <cell r="A25">
            <v>1.4</v>
          </cell>
          <cell r="B25" t="str">
            <v>ØØ</v>
          </cell>
        </row>
        <row r="27">
          <cell r="A27">
            <v>0</v>
          </cell>
          <cell r="B27" t="str">
            <v>×</v>
          </cell>
        </row>
        <row r="28">
          <cell r="A28">
            <v>0.5</v>
          </cell>
          <cell r="B28" t="str">
            <v xml:space="preserve"> </v>
          </cell>
        </row>
        <row r="29">
          <cell r="A29">
            <v>2</v>
          </cell>
          <cell r="B29" t="str">
            <v>Ø</v>
          </cell>
        </row>
      </sheetData>
      <sheetData sheetId="19" refreshError="1">
        <row r="4">
          <cell r="B4" t="str">
            <v>Touret</v>
          </cell>
          <cell r="C4" t="str">
            <v>RP</v>
          </cell>
          <cell r="E4" t="str">
            <v>Touret</v>
          </cell>
          <cell r="F4" t="str">
            <v>Harry</v>
          </cell>
          <cell r="G4">
            <v>1955</v>
          </cell>
          <cell r="H4" t="str">
            <v>HR France</v>
          </cell>
          <cell r="I4" t="str">
            <v>HRC</v>
          </cell>
          <cell r="J4" t="str">
            <v>HR</v>
          </cell>
          <cell r="K4">
            <v>0</v>
          </cell>
          <cell r="L4" t="str">
            <v>Timner H.J.</v>
          </cell>
          <cell r="M4">
            <v>1182</v>
          </cell>
          <cell r="N4" t="str">
            <v>4B</v>
          </cell>
          <cell r="O4">
            <v>1358</v>
          </cell>
          <cell r="P4" t="str">
            <v>Local</v>
          </cell>
          <cell r="Q4" t="str">
            <v>France</v>
          </cell>
        </row>
        <row r="5">
          <cell r="B5" t="str">
            <v>Richer</v>
          </cell>
          <cell r="C5" t="str">
            <v>AgrEvo</v>
          </cell>
          <cell r="E5" t="str">
            <v>Richer</v>
          </cell>
          <cell r="F5" t="str">
            <v>David</v>
          </cell>
          <cell r="G5">
            <v>0</v>
          </cell>
          <cell r="H5" t="str">
            <v>Head of Intellectual Property</v>
          </cell>
          <cell r="I5" t="str">
            <v>CTO</v>
          </cell>
          <cell r="J5" t="str">
            <v>R&amp;D</v>
          </cell>
          <cell r="K5">
            <v>0</v>
          </cell>
          <cell r="L5" t="str">
            <v>Asshauer J.</v>
          </cell>
          <cell r="M5">
            <v>0</v>
          </cell>
          <cell r="N5" t="str">
            <v>B</v>
          </cell>
          <cell r="O5">
            <v>1560</v>
          </cell>
          <cell r="P5" t="str">
            <v>Local</v>
          </cell>
          <cell r="Q5" t="str">
            <v>UK</v>
          </cell>
        </row>
        <row r="6">
          <cell r="B6" t="str">
            <v xml:space="preserve">Bosio </v>
          </cell>
          <cell r="C6" t="str">
            <v>AgrEvo</v>
          </cell>
          <cell r="E6" t="str">
            <v xml:space="preserve">Bosio </v>
          </cell>
          <cell r="F6" t="str">
            <v>Bernardino</v>
          </cell>
          <cell r="G6">
            <v>0</v>
          </cell>
          <cell r="H6" t="str">
            <v>Country Manager Italy</v>
          </cell>
          <cell r="I6" t="str">
            <v>Crop Protection</v>
          </cell>
          <cell r="J6" t="str">
            <v>Country Manager</v>
          </cell>
          <cell r="K6" t="str">
            <v>Europe</v>
          </cell>
          <cell r="L6" t="str">
            <v>Von Olfers H.</v>
          </cell>
          <cell r="M6">
            <v>0</v>
          </cell>
          <cell r="N6" t="str">
            <v>B</v>
          </cell>
          <cell r="O6">
            <v>1486</v>
          </cell>
          <cell r="P6" t="str">
            <v>Local</v>
          </cell>
          <cell r="Q6" t="str">
            <v>Italy</v>
          </cell>
        </row>
        <row r="7">
          <cell r="B7" t="str">
            <v xml:space="preserve">Cepeda </v>
          </cell>
          <cell r="C7" t="str">
            <v>RP</v>
          </cell>
          <cell r="E7" t="str">
            <v xml:space="preserve">Cepeda </v>
          </cell>
          <cell r="F7" t="str">
            <v>Jorge</v>
          </cell>
          <cell r="G7">
            <v>1950</v>
          </cell>
          <cell r="H7" t="str">
            <v>Country Manager Mexico CARICAMEX</v>
          </cell>
          <cell r="I7" t="str">
            <v>Crop Protection</v>
          </cell>
          <cell r="J7" t="str">
            <v>Country Manager</v>
          </cell>
          <cell r="K7" t="str">
            <v>Latin America</v>
          </cell>
          <cell r="L7" t="str">
            <v>Ravinet J.Y.</v>
          </cell>
          <cell r="M7">
            <v>1192</v>
          </cell>
          <cell r="N7" t="str">
            <v>4B</v>
          </cell>
          <cell r="O7">
            <v>1486</v>
          </cell>
          <cell r="P7" t="str">
            <v>Expat</v>
          </cell>
          <cell r="Q7" t="str">
            <v xml:space="preserve">US </v>
          </cell>
          <cell r="R7" t="str">
            <v>Mexico</v>
          </cell>
        </row>
        <row r="8">
          <cell r="B8" t="str">
            <v xml:space="preserve">Forcano </v>
          </cell>
          <cell r="C8" t="str">
            <v>AgrEvo</v>
          </cell>
          <cell r="E8" t="str">
            <v xml:space="preserve">Forcano </v>
          </cell>
          <cell r="F8" t="str">
            <v>Vicente</v>
          </cell>
          <cell r="G8">
            <v>0</v>
          </cell>
          <cell r="H8" t="str">
            <v>Country Manager Spain</v>
          </cell>
          <cell r="I8" t="str">
            <v>Crop Protection</v>
          </cell>
          <cell r="J8" t="str">
            <v>Country Manager</v>
          </cell>
          <cell r="K8" t="str">
            <v>Europe</v>
          </cell>
          <cell r="L8" t="str">
            <v>Von Olfers H.</v>
          </cell>
          <cell r="M8">
            <v>0</v>
          </cell>
          <cell r="N8" t="str">
            <v>B</v>
          </cell>
          <cell r="O8">
            <v>1486</v>
          </cell>
          <cell r="P8" t="str">
            <v>Local</v>
          </cell>
          <cell r="Q8" t="str">
            <v>Spain</v>
          </cell>
        </row>
        <row r="9">
          <cell r="B9" t="str">
            <v>Strilchuck</v>
          </cell>
          <cell r="C9" t="str">
            <v>AgrEvo</v>
          </cell>
          <cell r="E9" t="str">
            <v>Strilchuck</v>
          </cell>
          <cell r="F9" t="str">
            <v>David</v>
          </cell>
          <cell r="G9">
            <v>0</v>
          </cell>
          <cell r="H9" t="str">
            <v>Country Manager Canada</v>
          </cell>
          <cell r="I9" t="str">
            <v>Crop Protection</v>
          </cell>
          <cell r="J9" t="str">
            <v>Country Manager</v>
          </cell>
          <cell r="K9" t="str">
            <v>North America</v>
          </cell>
          <cell r="L9" t="str">
            <v>Von Olfers H.</v>
          </cell>
          <cell r="M9">
            <v>0</v>
          </cell>
          <cell r="N9" t="str">
            <v>B</v>
          </cell>
          <cell r="O9">
            <v>1486</v>
          </cell>
          <cell r="P9" t="str">
            <v>Local</v>
          </cell>
          <cell r="Q9" t="str">
            <v>Canada</v>
          </cell>
        </row>
        <row r="10">
          <cell r="B10" t="str">
            <v>Trogele</v>
          </cell>
          <cell r="C10" t="str">
            <v>AgrEvo</v>
          </cell>
          <cell r="E10" t="str">
            <v>Trogele</v>
          </cell>
          <cell r="F10" t="str">
            <v>Bob</v>
          </cell>
          <cell r="G10">
            <v>0</v>
          </cell>
          <cell r="H10" t="str">
            <v>North America Region Head</v>
          </cell>
          <cell r="I10" t="str">
            <v>Envir</v>
          </cell>
          <cell r="J10" t="str">
            <v>Region</v>
          </cell>
          <cell r="K10" t="str">
            <v>North America</v>
          </cell>
          <cell r="L10" t="str">
            <v>Barella J.</v>
          </cell>
          <cell r="M10">
            <v>0</v>
          </cell>
          <cell r="N10" t="str">
            <v>B</v>
          </cell>
          <cell r="O10">
            <v>1486</v>
          </cell>
          <cell r="P10" t="str">
            <v>Expat</v>
          </cell>
          <cell r="Q10" t="str">
            <v>Germany</v>
          </cell>
          <cell r="R10" t="str">
            <v>USA</v>
          </cell>
        </row>
        <row r="11">
          <cell r="B11" t="str">
            <v>Salvador</v>
          </cell>
          <cell r="C11" t="str">
            <v>AgrEvo</v>
          </cell>
          <cell r="E11" t="str">
            <v>Salvador</v>
          </cell>
          <cell r="F11" t="str">
            <v>Carlos</v>
          </cell>
          <cell r="G11">
            <v>0</v>
          </cell>
          <cell r="H11" t="str">
            <v>Country Manager Argentina</v>
          </cell>
          <cell r="I11" t="str">
            <v>l</v>
          </cell>
          <cell r="J11" t="str">
            <v>Country Manager</v>
          </cell>
          <cell r="K11" t="str">
            <v>Latin America</v>
          </cell>
          <cell r="L11" t="str">
            <v>Ravinet J.Y.</v>
          </cell>
          <cell r="M11">
            <v>0</v>
          </cell>
          <cell r="N11" t="str">
            <v>"B"</v>
          </cell>
          <cell r="O11">
            <v>1486</v>
          </cell>
          <cell r="P11" t="str">
            <v>Local</v>
          </cell>
          <cell r="Q11" t="str">
            <v>Argentina</v>
          </cell>
        </row>
        <row r="12">
          <cell r="B12" t="str">
            <v>de Bruin</v>
          </cell>
          <cell r="C12" t="str">
            <v>RP</v>
          </cell>
          <cell r="E12" t="str">
            <v>de Bruin</v>
          </cell>
          <cell r="F12" t="str">
            <v>Evert Jan</v>
          </cell>
          <cell r="G12">
            <v>1945</v>
          </cell>
          <cell r="H12" t="str">
            <v>Country Manager Benelux</v>
          </cell>
          <cell r="I12" t="str">
            <v>Crop Protection</v>
          </cell>
          <cell r="J12" t="str">
            <v>Country Manager</v>
          </cell>
          <cell r="K12" t="str">
            <v>Europe</v>
          </cell>
          <cell r="L12" t="str">
            <v>Von Olfers H.</v>
          </cell>
          <cell r="M12">
            <v>1292</v>
          </cell>
          <cell r="N12" t="str">
            <v>4A</v>
          </cell>
          <cell r="O12">
            <v>1486</v>
          </cell>
          <cell r="P12" t="str">
            <v>Local</v>
          </cell>
          <cell r="Q12" t="str">
            <v>Netherlands</v>
          </cell>
        </row>
        <row r="13">
          <cell r="B13" t="str">
            <v>Van der Broek</v>
          </cell>
          <cell r="C13" t="str">
            <v>AgrEvo</v>
          </cell>
          <cell r="E13" t="str">
            <v>Van der Broek</v>
          </cell>
          <cell r="F13" t="str">
            <v>Lykele</v>
          </cell>
          <cell r="G13">
            <v>0</v>
          </cell>
          <cell r="H13" t="str">
            <v>M.D. Asia Global Business Strategy</v>
          </cell>
          <cell r="I13" t="str">
            <v>Seeds / Crop Improvement</v>
          </cell>
          <cell r="J13" t="str">
            <v>Region</v>
          </cell>
          <cell r="K13">
            <v>0</v>
          </cell>
          <cell r="L13" t="str">
            <v>Lange H.</v>
          </cell>
          <cell r="M13">
            <v>0</v>
          </cell>
          <cell r="N13" t="str">
            <v>"B"</v>
          </cell>
          <cell r="O13">
            <v>1418</v>
          </cell>
        </row>
        <row r="14">
          <cell r="B14" t="str">
            <v xml:space="preserve">Van Nooy </v>
          </cell>
          <cell r="C14" t="str">
            <v>AgrEvo</v>
          </cell>
          <cell r="E14" t="str">
            <v xml:space="preserve">Van Nooy </v>
          </cell>
          <cell r="F14" t="str">
            <v>Michael</v>
          </cell>
          <cell r="G14">
            <v>0</v>
          </cell>
          <cell r="H14" t="str">
            <v>Global Logistics</v>
          </cell>
          <cell r="I14" t="str">
            <v>SCM</v>
          </cell>
          <cell r="J14" t="str">
            <v>Supply Chain</v>
          </cell>
          <cell r="K14">
            <v>0</v>
          </cell>
          <cell r="L14" t="str">
            <v>Mc Manus I.</v>
          </cell>
          <cell r="M14">
            <v>0</v>
          </cell>
          <cell r="N14" t="str">
            <v>B</v>
          </cell>
          <cell r="O14">
            <v>1418</v>
          </cell>
          <cell r="P14" t="str">
            <v>Transferee</v>
          </cell>
          <cell r="Q14" t="str">
            <v>Germany</v>
          </cell>
          <cell r="R14" t="str">
            <v>France</v>
          </cell>
        </row>
        <row r="15">
          <cell r="B15" t="str">
            <v xml:space="preserve">Allais </v>
          </cell>
          <cell r="C15" t="str">
            <v>RP</v>
          </cell>
          <cell r="E15" t="str">
            <v xml:space="preserve">Allais </v>
          </cell>
          <cell r="F15" t="str">
            <v>Jean</v>
          </cell>
          <cell r="G15">
            <v>1948</v>
          </cell>
          <cell r="H15" t="str">
            <v>Deputy CIO, Bus. Application Manager</v>
          </cell>
          <cell r="I15" t="str">
            <v>CFO</v>
          </cell>
          <cell r="J15" t="str">
            <v>IT</v>
          </cell>
          <cell r="K15">
            <v>0</v>
          </cell>
          <cell r="L15" t="str">
            <v>Blomer</v>
          </cell>
          <cell r="M15">
            <v>994</v>
          </cell>
          <cell r="N15" t="str">
            <v>4B</v>
          </cell>
          <cell r="O15">
            <v>1358</v>
          </cell>
          <cell r="P15" t="str">
            <v>Local</v>
          </cell>
          <cell r="Q15" t="str">
            <v>France</v>
          </cell>
        </row>
        <row r="16">
          <cell r="B16" t="str">
            <v xml:space="preserve">Amat </v>
          </cell>
          <cell r="C16" t="str">
            <v>RP</v>
          </cell>
          <cell r="E16" t="str">
            <v xml:space="preserve">Amat </v>
          </cell>
          <cell r="F16" t="str">
            <v>Thierry</v>
          </cell>
          <cell r="G16">
            <v>1960</v>
          </cell>
          <cell r="H16" t="str">
            <v>Finance &amp; Administration (Controller - NA)</v>
          </cell>
          <cell r="I16" t="str">
            <v>Crop Protection</v>
          </cell>
          <cell r="J16" t="str">
            <v>Finance</v>
          </cell>
          <cell r="K16" t="str">
            <v>North America</v>
          </cell>
          <cell r="L16" t="str">
            <v>Delage M.</v>
          </cell>
          <cell r="M16" t="str">
            <v>not quoted</v>
          </cell>
          <cell r="N16" t="str">
            <v>4A</v>
          </cell>
          <cell r="O16">
            <v>1358</v>
          </cell>
          <cell r="P16" t="str">
            <v>Expat</v>
          </cell>
          <cell r="Q16" t="str">
            <v>France</v>
          </cell>
          <cell r="R16" t="str">
            <v>USA</v>
          </cell>
        </row>
        <row r="17">
          <cell r="B17" t="str">
            <v xml:space="preserve">Carmichael </v>
          </cell>
          <cell r="C17" t="str">
            <v>RP</v>
          </cell>
          <cell r="E17" t="str">
            <v xml:space="preserve">Carmichael </v>
          </cell>
          <cell r="F17" t="str">
            <v>Neil</v>
          </cell>
          <cell r="G17">
            <v>1951</v>
          </cell>
          <cell r="H17" t="str">
            <v>Head of Global Toxicology</v>
          </cell>
          <cell r="I17" t="str">
            <v>CTO</v>
          </cell>
          <cell r="J17" t="str">
            <v>R&amp;D</v>
          </cell>
          <cell r="K17">
            <v>0</v>
          </cell>
          <cell r="L17" t="str">
            <v>Dorn E.</v>
          </cell>
          <cell r="M17">
            <v>1358</v>
          </cell>
          <cell r="N17" t="str">
            <v>4A</v>
          </cell>
          <cell r="O17">
            <v>1358</v>
          </cell>
          <cell r="P17" t="str">
            <v>Local</v>
          </cell>
          <cell r="Q17" t="str">
            <v>France</v>
          </cell>
        </row>
        <row r="18">
          <cell r="B18" t="str">
            <v>Caruhel</v>
          </cell>
          <cell r="C18" t="str">
            <v>RP</v>
          </cell>
          <cell r="E18" t="str">
            <v>Caruhel</v>
          </cell>
          <cell r="F18" t="str">
            <v>Pascal</v>
          </cell>
          <cell r="G18">
            <v>1955</v>
          </cell>
          <cell r="H18" t="str">
            <v>Indication leader Insecticides Ffm</v>
          </cell>
          <cell r="I18" t="str">
            <v>CTO</v>
          </cell>
          <cell r="J18" t="str">
            <v>R&amp;D</v>
          </cell>
          <cell r="K18">
            <v>0</v>
          </cell>
          <cell r="L18" t="str">
            <v>Greiner A.</v>
          </cell>
          <cell r="M18">
            <v>775</v>
          </cell>
          <cell r="N18" t="str">
            <v>5B</v>
          </cell>
          <cell r="O18">
            <v>1358</v>
          </cell>
          <cell r="P18" t="str">
            <v>Expat</v>
          </cell>
          <cell r="Q18" t="str">
            <v>France</v>
          </cell>
          <cell r="R18" t="str">
            <v>Germany</v>
          </cell>
        </row>
        <row r="19">
          <cell r="B19" t="str">
            <v xml:space="preserve">de Ponti </v>
          </cell>
          <cell r="C19" t="str">
            <v>AgrEvo</v>
          </cell>
          <cell r="E19" t="str">
            <v xml:space="preserve">de Ponti </v>
          </cell>
          <cell r="F19" t="str">
            <v>Orlando</v>
          </cell>
          <cell r="G19">
            <v>0</v>
          </cell>
          <cell r="H19" t="str">
            <v>R&amp;D Vegetable Seeds (Nunza)</v>
          </cell>
          <cell r="I19" t="str">
            <v>Seeds / Crop Improvement</v>
          </cell>
          <cell r="J19" t="str">
            <v>R&amp;D</v>
          </cell>
          <cell r="K19">
            <v>0</v>
          </cell>
          <cell r="L19" t="str">
            <v>Lange H.</v>
          </cell>
          <cell r="M19">
            <v>0</v>
          </cell>
          <cell r="N19" t="str">
            <v>"B"</v>
          </cell>
          <cell r="O19">
            <v>1358</v>
          </cell>
        </row>
        <row r="20">
          <cell r="B20" t="str">
            <v xml:space="preserve">Dupont </v>
          </cell>
          <cell r="C20" t="str">
            <v>AgrEvo</v>
          </cell>
          <cell r="E20" t="str">
            <v xml:space="preserve">Dupont </v>
          </cell>
          <cell r="F20" t="str">
            <v>Pierre-Louis</v>
          </cell>
          <cell r="G20">
            <v>0</v>
          </cell>
          <cell r="H20" t="str">
            <v>Marketing, Strategic Business Development - Europe</v>
          </cell>
          <cell r="I20" t="str">
            <v>Crop Protection</v>
          </cell>
          <cell r="J20" t="str">
            <v>Mktg &amp; Bus. Dev.</v>
          </cell>
          <cell r="K20" t="str">
            <v>Europe</v>
          </cell>
          <cell r="L20" t="str">
            <v>Von Olfers H.</v>
          </cell>
          <cell r="M20">
            <v>0</v>
          </cell>
          <cell r="N20" t="str">
            <v>B</v>
          </cell>
          <cell r="O20">
            <v>1358</v>
          </cell>
          <cell r="P20" t="str">
            <v>?</v>
          </cell>
          <cell r="Q20" t="str">
            <v>France</v>
          </cell>
          <cell r="R20" t="str">
            <v>Germany</v>
          </cell>
        </row>
        <row r="21">
          <cell r="B21" t="str">
            <v>Gouot</v>
          </cell>
          <cell r="C21" t="str">
            <v>RP</v>
          </cell>
          <cell r="E21" t="str">
            <v>Gouot</v>
          </cell>
          <cell r="F21" t="str">
            <v>Jean-Marie</v>
          </cell>
          <cell r="G21">
            <v>1946</v>
          </cell>
          <cell r="H21" t="str">
            <v>Indication leader Fungicides Lyon</v>
          </cell>
          <cell r="I21" t="str">
            <v>CTO</v>
          </cell>
          <cell r="J21" t="str">
            <v>R&amp;D</v>
          </cell>
          <cell r="K21">
            <v>0</v>
          </cell>
          <cell r="L21" t="str">
            <v>Greiner A.</v>
          </cell>
          <cell r="M21">
            <v>830</v>
          </cell>
          <cell r="N21" t="str">
            <v>5A</v>
          </cell>
          <cell r="O21">
            <v>1358</v>
          </cell>
          <cell r="P21" t="str">
            <v>Local</v>
          </cell>
          <cell r="Q21" t="str">
            <v>France</v>
          </cell>
        </row>
        <row r="22">
          <cell r="B22" t="str">
            <v>Pearson</v>
          </cell>
          <cell r="C22" t="str">
            <v>RP</v>
          </cell>
          <cell r="E22" t="str">
            <v>Pearson</v>
          </cell>
          <cell r="F22" t="str">
            <v>Chris</v>
          </cell>
          <cell r="G22">
            <v>1959</v>
          </cell>
          <cell r="H22" t="str">
            <v>Site Head Ongar + Function Head Chemistry</v>
          </cell>
          <cell r="I22" t="str">
            <v>CTO</v>
          </cell>
          <cell r="J22" t="str">
            <v>R&amp;D</v>
          </cell>
          <cell r="K22">
            <v>0</v>
          </cell>
          <cell r="L22" t="str">
            <v>Wengenmayer</v>
          </cell>
          <cell r="M22">
            <v>1348</v>
          </cell>
          <cell r="N22" t="str">
            <v>/</v>
          </cell>
          <cell r="O22">
            <v>1358</v>
          </cell>
          <cell r="P22" t="str">
            <v>Local</v>
          </cell>
          <cell r="Q22" t="str">
            <v>UK</v>
          </cell>
        </row>
        <row r="23">
          <cell r="B23" t="str">
            <v>Stübler</v>
          </cell>
          <cell r="C23" t="str">
            <v>AgrEvo</v>
          </cell>
          <cell r="E23" t="str">
            <v>Stübler</v>
          </cell>
          <cell r="F23" t="str">
            <v>Hermann</v>
          </cell>
          <cell r="G23">
            <v>0</v>
          </cell>
          <cell r="H23" t="str">
            <v>Indication leader Herbicides</v>
          </cell>
          <cell r="I23" t="str">
            <v>CTO</v>
          </cell>
          <cell r="J23" t="str">
            <v>R&amp;D</v>
          </cell>
          <cell r="K23">
            <v>0</v>
          </cell>
          <cell r="L23" t="str">
            <v>Greiner A.</v>
          </cell>
          <cell r="M23">
            <v>0</v>
          </cell>
          <cell r="N23" t="str">
            <v>B</v>
          </cell>
          <cell r="O23">
            <v>1358</v>
          </cell>
          <cell r="P23" t="str">
            <v>Local</v>
          </cell>
          <cell r="Q23" t="str">
            <v>Germany</v>
          </cell>
        </row>
        <row r="24">
          <cell r="B24" t="str">
            <v>Van Asche (?)</v>
          </cell>
          <cell r="C24" t="str">
            <v>AgrEvo</v>
          </cell>
          <cell r="E24" t="str">
            <v>Van Asche (?)</v>
          </cell>
          <cell r="F24" t="str">
            <v>Wielfried</v>
          </cell>
          <cell r="G24">
            <v>0</v>
          </cell>
          <cell r="H24" t="str">
            <v>Head Legal Biotech</v>
          </cell>
          <cell r="I24" t="str">
            <v>Seeds / Crop Improvement</v>
          </cell>
          <cell r="J24">
            <v>0</v>
          </cell>
          <cell r="K24">
            <v>0</v>
          </cell>
          <cell r="L24">
            <v>0</v>
          </cell>
          <cell r="M24">
            <v>0</v>
          </cell>
          <cell r="N24" t="str">
            <v>B</v>
          </cell>
          <cell r="O24">
            <v>1358</v>
          </cell>
          <cell r="P24" t="str">
            <v>Local</v>
          </cell>
          <cell r="Q24" t="str">
            <v>Belgium</v>
          </cell>
        </row>
        <row r="25">
          <cell r="B25" t="str">
            <v xml:space="preserve">Weiner </v>
          </cell>
          <cell r="C25" t="str">
            <v>AgrEvo</v>
          </cell>
          <cell r="E25" t="str">
            <v xml:space="preserve">Weiner </v>
          </cell>
          <cell r="F25" t="str">
            <v>Karen</v>
          </cell>
          <cell r="G25">
            <v>0</v>
          </cell>
          <cell r="H25" t="str">
            <v>Corporate Legal Affairs NA</v>
          </cell>
          <cell r="I25" t="str">
            <v>Crop Protection</v>
          </cell>
          <cell r="J25" t="str">
            <v>Legal</v>
          </cell>
          <cell r="K25" t="str">
            <v>North America</v>
          </cell>
          <cell r="L25" t="str">
            <v>Delage M.</v>
          </cell>
          <cell r="M25">
            <v>0</v>
          </cell>
          <cell r="N25" t="str">
            <v>"C"</v>
          </cell>
          <cell r="O25">
            <v>1358</v>
          </cell>
          <cell r="P25" t="str">
            <v>Local</v>
          </cell>
        </row>
        <row r="26">
          <cell r="B26" t="str">
            <v xml:space="preserve">Wright </v>
          </cell>
          <cell r="C26" t="str">
            <v>AgrEvo</v>
          </cell>
          <cell r="E26" t="str">
            <v xml:space="preserve">Wright </v>
          </cell>
          <cell r="F26" t="str">
            <v>Ken</v>
          </cell>
          <cell r="G26">
            <v>0</v>
          </cell>
          <cell r="H26" t="str">
            <v>R&amp;D C-Park</v>
          </cell>
          <cell r="I26" t="str">
            <v>CTO</v>
          </cell>
          <cell r="J26" t="str">
            <v>R&amp;D</v>
          </cell>
          <cell r="K26">
            <v>0</v>
          </cell>
          <cell r="L26" t="str">
            <v>Wengenmayer</v>
          </cell>
          <cell r="M26">
            <v>0</v>
          </cell>
          <cell r="N26" t="str">
            <v>B</v>
          </cell>
          <cell r="O26">
            <v>1358</v>
          </cell>
          <cell r="P26" t="str">
            <v>Local</v>
          </cell>
          <cell r="Q26" t="str">
            <v>UK</v>
          </cell>
        </row>
        <row r="27">
          <cell r="B27" t="str">
            <v>Zennaro (?)</v>
          </cell>
          <cell r="C27" t="str">
            <v>RP</v>
          </cell>
          <cell r="E27" t="str">
            <v>Zennaro (?)</v>
          </cell>
          <cell r="F27" t="str">
            <v>Laurent</v>
          </cell>
          <cell r="G27">
            <v>0</v>
          </cell>
          <cell r="H27" t="str">
            <v>Tax</v>
          </cell>
          <cell r="I27" t="str">
            <v>CFO</v>
          </cell>
          <cell r="J27" t="str">
            <v>Finance</v>
          </cell>
          <cell r="K27">
            <v>0</v>
          </cell>
          <cell r="L27" t="str">
            <v>Lac J.P.</v>
          </cell>
          <cell r="M27">
            <v>0</v>
          </cell>
          <cell r="N27">
            <v>0</v>
          </cell>
          <cell r="O27">
            <v>1358</v>
          </cell>
          <cell r="P27" t="str">
            <v>Local</v>
          </cell>
          <cell r="Q27" t="str">
            <v>France</v>
          </cell>
        </row>
        <row r="28">
          <cell r="B28" t="str">
            <v xml:space="preserve">Kirby </v>
          </cell>
          <cell r="C28" t="str">
            <v>RP</v>
          </cell>
          <cell r="E28" t="str">
            <v xml:space="preserve">Kirby </v>
          </cell>
          <cell r="F28" t="str">
            <v>Steve</v>
          </cell>
          <cell r="G28">
            <v>1954</v>
          </cell>
          <cell r="H28" t="str">
            <v>Sales Director - France</v>
          </cell>
          <cell r="I28" t="str">
            <v>Crop Protection</v>
          </cell>
          <cell r="J28">
            <v>0</v>
          </cell>
          <cell r="K28" t="str">
            <v>Europe</v>
          </cell>
          <cell r="L28" t="str">
            <v>Chalandon</v>
          </cell>
          <cell r="M28">
            <v>994</v>
          </cell>
          <cell r="N28" t="str">
            <v>4B</v>
          </cell>
          <cell r="O28">
            <v>1292</v>
          </cell>
          <cell r="P28" t="str">
            <v>Local</v>
          </cell>
          <cell r="Q28" t="str">
            <v>France</v>
          </cell>
        </row>
        <row r="29">
          <cell r="B29" t="str">
            <v xml:space="preserve">Lorenz </v>
          </cell>
          <cell r="C29" t="str">
            <v>AgrEvo</v>
          </cell>
          <cell r="E29" t="str">
            <v xml:space="preserve">Lorenz </v>
          </cell>
          <cell r="F29" t="str">
            <v>Andreas</v>
          </cell>
          <cell r="G29">
            <v>0</v>
          </cell>
          <cell r="H29" t="str">
            <v>Country Manager Columbia</v>
          </cell>
          <cell r="I29" t="str">
            <v>Crop Protection</v>
          </cell>
          <cell r="J29" t="str">
            <v>Country Manager</v>
          </cell>
          <cell r="K29" t="str">
            <v>Latin America</v>
          </cell>
          <cell r="L29" t="str">
            <v>Ravinet J.Y.</v>
          </cell>
          <cell r="M29">
            <v>0</v>
          </cell>
          <cell r="N29" t="str">
            <v>B</v>
          </cell>
          <cell r="O29">
            <v>1292</v>
          </cell>
          <cell r="P29" t="str">
            <v>Expat</v>
          </cell>
          <cell r="Q29" t="str">
            <v>Germany</v>
          </cell>
          <cell r="R29" t="str">
            <v>Columbia</v>
          </cell>
        </row>
        <row r="30">
          <cell r="B30" t="str">
            <v>Remijnse</v>
          </cell>
          <cell r="C30" t="str">
            <v>AgrEvo</v>
          </cell>
          <cell r="E30" t="str">
            <v>Remijnse</v>
          </cell>
          <cell r="F30" t="str">
            <v>Ko</v>
          </cell>
          <cell r="G30">
            <v>0</v>
          </cell>
          <cell r="H30" t="str">
            <v>Vegetable Seeds / Operations MEA (Nunza)</v>
          </cell>
          <cell r="I30" t="str">
            <v>Seeds / Crop Improvement</v>
          </cell>
          <cell r="J30" t="str">
            <v>Region</v>
          </cell>
          <cell r="K30">
            <v>0</v>
          </cell>
          <cell r="L30" t="str">
            <v>Lange H.</v>
          </cell>
          <cell r="M30">
            <v>0</v>
          </cell>
          <cell r="N30" t="str">
            <v>"B"</v>
          </cell>
          <cell r="O30">
            <v>1292</v>
          </cell>
        </row>
        <row r="31">
          <cell r="B31" t="str">
            <v xml:space="preserve">Van Kesteren </v>
          </cell>
          <cell r="C31" t="str">
            <v>AgrEvo</v>
          </cell>
          <cell r="E31" t="str">
            <v xml:space="preserve">Van Kesteren </v>
          </cell>
          <cell r="F31" t="str">
            <v>Pieter</v>
          </cell>
          <cell r="G31">
            <v>0</v>
          </cell>
          <cell r="H31" t="str">
            <v>Managing Director</v>
          </cell>
          <cell r="I31" t="str">
            <v>Seeds / Crop Improvement</v>
          </cell>
          <cell r="J31">
            <v>0</v>
          </cell>
          <cell r="K31">
            <v>0</v>
          </cell>
          <cell r="L31" t="str">
            <v>Lange H.</v>
          </cell>
          <cell r="M31">
            <v>0</v>
          </cell>
          <cell r="N31" t="str">
            <v>"B"</v>
          </cell>
          <cell r="O31">
            <v>1292</v>
          </cell>
        </row>
        <row r="32">
          <cell r="B32" t="str">
            <v xml:space="preserve">Arthur </v>
          </cell>
          <cell r="C32" t="str">
            <v>RP</v>
          </cell>
          <cell r="E32" t="str">
            <v xml:space="preserve">Arthur </v>
          </cell>
          <cell r="F32" t="str">
            <v>John</v>
          </cell>
          <cell r="G32">
            <v>1951</v>
          </cell>
          <cell r="H32" t="str">
            <v>Professional Products</v>
          </cell>
          <cell r="I32" t="str">
            <v>Envir</v>
          </cell>
          <cell r="J32" t="str">
            <v>Mktg &amp; Bus. Dev.</v>
          </cell>
          <cell r="K32" t="str">
            <v>Envir.</v>
          </cell>
          <cell r="L32" t="str">
            <v>Barella J.</v>
          </cell>
          <cell r="M32">
            <v>904</v>
          </cell>
          <cell r="N32" t="str">
            <v>5A</v>
          </cell>
          <cell r="O32">
            <v>1232</v>
          </cell>
          <cell r="P32" t="str">
            <v>Transferee</v>
          </cell>
          <cell r="Q32" t="str">
            <v>UK</v>
          </cell>
          <cell r="R32" t="str">
            <v>Germany</v>
          </cell>
        </row>
        <row r="33">
          <cell r="B33" t="str">
            <v xml:space="preserve">Braund </v>
          </cell>
          <cell r="C33" t="str">
            <v>AgrEvo</v>
          </cell>
          <cell r="E33" t="str">
            <v xml:space="preserve">Braund </v>
          </cell>
          <cell r="F33" t="str">
            <v>Stephen</v>
          </cell>
          <cell r="G33">
            <v>0</v>
          </cell>
          <cell r="H33" t="str">
            <v>Supply Chain Manager - Europe</v>
          </cell>
          <cell r="I33" t="str">
            <v>Crop Protection</v>
          </cell>
          <cell r="J33" t="str">
            <v>Supply Chain</v>
          </cell>
          <cell r="K33" t="str">
            <v>Europe</v>
          </cell>
          <cell r="L33" t="str">
            <v>Von Olfers H.</v>
          </cell>
          <cell r="M33">
            <v>0</v>
          </cell>
          <cell r="N33" t="str">
            <v>B</v>
          </cell>
          <cell r="O33">
            <v>1232</v>
          </cell>
          <cell r="P33" t="str">
            <v>Tranferee</v>
          </cell>
          <cell r="Q33" t="str">
            <v>UK</v>
          </cell>
          <cell r="R33" t="str">
            <v>Germany</v>
          </cell>
        </row>
        <row r="34">
          <cell r="B34" t="str">
            <v>Dudfield</v>
          </cell>
          <cell r="C34" t="str">
            <v>AgrEvo</v>
          </cell>
          <cell r="E34" t="str">
            <v>Dudfield</v>
          </cell>
          <cell r="F34" t="str">
            <v>Phil</v>
          </cell>
          <cell r="G34">
            <v>0</v>
          </cell>
          <cell r="H34" t="str">
            <v>Head of Hit Factory</v>
          </cell>
          <cell r="I34" t="str">
            <v>CTO</v>
          </cell>
          <cell r="J34" t="str">
            <v>R&amp;D</v>
          </cell>
          <cell r="K34">
            <v>0</v>
          </cell>
          <cell r="L34" t="str">
            <v>Greiner A.</v>
          </cell>
          <cell r="M34">
            <v>0</v>
          </cell>
          <cell r="N34" t="str">
            <v>B</v>
          </cell>
          <cell r="O34">
            <v>1232</v>
          </cell>
          <cell r="P34" t="str">
            <v>Transferee</v>
          </cell>
          <cell r="Q34" t="str">
            <v>UK</v>
          </cell>
          <cell r="R34" t="str">
            <v>Germany</v>
          </cell>
        </row>
        <row r="35">
          <cell r="B35" t="str">
            <v>Guinard</v>
          </cell>
          <cell r="C35" t="str">
            <v>RP</v>
          </cell>
          <cell r="E35" t="str">
            <v>Guinard</v>
          </cell>
          <cell r="F35" t="str">
            <v>Michel</v>
          </cell>
          <cell r="G35">
            <v>1952</v>
          </cell>
          <cell r="H35" t="str">
            <v>Head of Process Development</v>
          </cell>
          <cell r="I35" t="str">
            <v>CTO</v>
          </cell>
          <cell r="J35" t="str">
            <v>R&amp;D</v>
          </cell>
          <cell r="K35">
            <v>0</v>
          </cell>
          <cell r="L35" t="str">
            <v>Greiner A.</v>
          </cell>
          <cell r="M35">
            <v>0</v>
          </cell>
          <cell r="N35" t="str">
            <v>5A</v>
          </cell>
          <cell r="O35">
            <v>1232</v>
          </cell>
          <cell r="P35" t="str">
            <v>Local</v>
          </cell>
          <cell r="Q35" t="str">
            <v>France</v>
          </cell>
        </row>
        <row r="36">
          <cell r="B36" t="str">
            <v xml:space="preserve">Halls </v>
          </cell>
          <cell r="C36" t="str">
            <v>AgrEvo</v>
          </cell>
          <cell r="E36" t="str">
            <v xml:space="preserve">Halls </v>
          </cell>
          <cell r="F36" t="str">
            <v>Geoffrey</v>
          </cell>
          <cell r="G36">
            <v>0</v>
          </cell>
          <cell r="H36" t="str">
            <v>Industrial Products</v>
          </cell>
          <cell r="I36" t="str">
            <v>Envir</v>
          </cell>
          <cell r="J36" t="str">
            <v>Mktg &amp; Bus. Dev.</v>
          </cell>
          <cell r="K36" t="str">
            <v>Envir.</v>
          </cell>
          <cell r="L36" t="str">
            <v>Barella J.</v>
          </cell>
          <cell r="M36">
            <v>0</v>
          </cell>
          <cell r="N36" t="str">
            <v>A</v>
          </cell>
          <cell r="O36">
            <v>1232</v>
          </cell>
          <cell r="P36" t="str">
            <v>Expat</v>
          </cell>
          <cell r="Q36" t="str">
            <v>UK</v>
          </cell>
          <cell r="R36" t="str">
            <v>Germany</v>
          </cell>
        </row>
        <row r="37">
          <cell r="B37" t="str">
            <v>Joos</v>
          </cell>
          <cell r="C37" t="str">
            <v>AgrEvo</v>
          </cell>
          <cell r="E37" t="str">
            <v>Joos</v>
          </cell>
          <cell r="F37" t="str">
            <v>Henk</v>
          </cell>
          <cell r="G37">
            <v>0</v>
          </cell>
          <cell r="H37" t="str">
            <v>Breeding and Product Development</v>
          </cell>
          <cell r="I37" t="str">
            <v>Seeds / Crop Improvement</v>
          </cell>
          <cell r="J37">
            <v>0</v>
          </cell>
          <cell r="K37">
            <v>0</v>
          </cell>
          <cell r="L37">
            <v>0</v>
          </cell>
          <cell r="M37">
            <v>0</v>
          </cell>
          <cell r="N37" t="str">
            <v>"B"</v>
          </cell>
          <cell r="O37">
            <v>1232</v>
          </cell>
          <cell r="P37" t="str">
            <v>Local</v>
          </cell>
          <cell r="Q37" t="str">
            <v>Belgium</v>
          </cell>
          <cell r="R37" t="str">
            <v xml:space="preserve"> </v>
          </cell>
        </row>
        <row r="38">
          <cell r="B38" t="str">
            <v>Maier</v>
          </cell>
          <cell r="C38" t="str">
            <v>AgrEvo</v>
          </cell>
          <cell r="E38" t="str">
            <v>Maier</v>
          </cell>
          <cell r="F38" t="str">
            <v>Thomas</v>
          </cell>
          <cell r="G38">
            <v>0</v>
          </cell>
          <cell r="H38" t="str">
            <v>Head of Global Formulation and Packaging</v>
          </cell>
          <cell r="I38" t="str">
            <v>CTO</v>
          </cell>
          <cell r="J38" t="str">
            <v>R&amp;D</v>
          </cell>
          <cell r="K38">
            <v>0</v>
          </cell>
          <cell r="L38" t="str">
            <v>Dorn E.</v>
          </cell>
          <cell r="M38">
            <v>0</v>
          </cell>
          <cell r="N38" t="str">
            <v>B</v>
          </cell>
          <cell r="O38">
            <v>1232</v>
          </cell>
          <cell r="P38" t="str">
            <v>Local</v>
          </cell>
          <cell r="Q38" t="str">
            <v>Germany</v>
          </cell>
        </row>
        <row r="39">
          <cell r="B39" t="str">
            <v>Pallet</v>
          </cell>
          <cell r="C39" t="str">
            <v>RP</v>
          </cell>
          <cell r="E39" t="str">
            <v>Pallet</v>
          </cell>
          <cell r="F39" t="str">
            <v>Ken</v>
          </cell>
          <cell r="G39">
            <v>1952</v>
          </cell>
          <cell r="H39" t="str">
            <v>Function Head Biology / Herbicides + Biology Coordination</v>
          </cell>
          <cell r="I39" t="str">
            <v>CTO</v>
          </cell>
          <cell r="J39" t="str">
            <v>R&amp;D</v>
          </cell>
          <cell r="K39">
            <v>0</v>
          </cell>
          <cell r="L39" t="str">
            <v>Wengenmayer</v>
          </cell>
          <cell r="M39">
            <v>890</v>
          </cell>
          <cell r="N39">
            <v>0</v>
          </cell>
          <cell r="O39">
            <v>1232</v>
          </cell>
          <cell r="P39" t="str">
            <v xml:space="preserve">Expat </v>
          </cell>
          <cell r="Q39" t="str">
            <v>UK</v>
          </cell>
          <cell r="R39" t="str">
            <v>Germany</v>
          </cell>
        </row>
        <row r="40">
          <cell r="B40" t="str">
            <v>Schulz</v>
          </cell>
          <cell r="C40" t="str">
            <v>AgrEvo</v>
          </cell>
          <cell r="E40" t="str">
            <v>Schulz</v>
          </cell>
          <cell r="F40" t="str">
            <v>Arno</v>
          </cell>
          <cell r="G40">
            <v>0</v>
          </cell>
          <cell r="H40" t="str">
            <v>Function Head Biochemistry / Herbicides + Biochemistry coordination</v>
          </cell>
          <cell r="I40" t="str">
            <v>CTO</v>
          </cell>
          <cell r="J40" t="str">
            <v>R&amp;D</v>
          </cell>
          <cell r="K40">
            <v>0</v>
          </cell>
          <cell r="L40" t="str">
            <v>Wengenmayer</v>
          </cell>
          <cell r="M40">
            <v>0</v>
          </cell>
          <cell r="N40" t="str">
            <v>C</v>
          </cell>
          <cell r="O40">
            <v>1232</v>
          </cell>
          <cell r="P40" t="str">
            <v>Local</v>
          </cell>
          <cell r="Q40" t="str">
            <v>Germany</v>
          </cell>
        </row>
        <row r="41">
          <cell r="B41" t="str">
            <v>Stark</v>
          </cell>
          <cell r="C41" t="str">
            <v>AgrEvo</v>
          </cell>
          <cell r="E41" t="str">
            <v>Stark</v>
          </cell>
          <cell r="F41" t="str">
            <v>Herbert</v>
          </cell>
          <cell r="G41">
            <v>0</v>
          </cell>
          <cell r="H41" t="str">
            <v>Function Head Chemistry / Insecticides + Chemistry coordination</v>
          </cell>
          <cell r="I41" t="str">
            <v>CTO</v>
          </cell>
          <cell r="J41" t="str">
            <v>R&amp;D</v>
          </cell>
          <cell r="K41">
            <v>0</v>
          </cell>
          <cell r="L41" t="str">
            <v>Wengenmayer</v>
          </cell>
          <cell r="M41">
            <v>0</v>
          </cell>
          <cell r="N41" t="str">
            <v>B</v>
          </cell>
          <cell r="O41">
            <v>1232</v>
          </cell>
          <cell r="P41" t="str">
            <v>Local</v>
          </cell>
          <cell r="Q41" t="str">
            <v>Germany</v>
          </cell>
        </row>
        <row r="42">
          <cell r="B42" t="str">
            <v>Townes</v>
          </cell>
          <cell r="C42" t="str">
            <v>RP</v>
          </cell>
          <cell r="E42" t="str">
            <v>Townes</v>
          </cell>
          <cell r="F42" t="str">
            <v>Greg</v>
          </cell>
          <cell r="G42">
            <v>1948</v>
          </cell>
          <cell r="H42" t="str">
            <v>Head of Site Operations North America</v>
          </cell>
          <cell r="I42" t="str">
            <v>SCM</v>
          </cell>
          <cell r="J42" t="str">
            <v>Supply Chain</v>
          </cell>
          <cell r="K42" t="str">
            <v>North America</v>
          </cell>
          <cell r="L42" t="str">
            <v>Martinet J.P.</v>
          </cell>
          <cell r="M42">
            <v>1192</v>
          </cell>
          <cell r="N42">
            <v>0</v>
          </cell>
          <cell r="O42">
            <v>1232</v>
          </cell>
          <cell r="P42" t="str">
            <v>Expat</v>
          </cell>
          <cell r="Q42" t="str">
            <v>UK</v>
          </cell>
          <cell r="R42" t="str">
            <v>USA</v>
          </cell>
        </row>
        <row r="43">
          <cell r="B43" t="str">
            <v>Mollon</v>
          </cell>
          <cell r="C43" t="str">
            <v>AgrEvo</v>
          </cell>
          <cell r="E43" t="str">
            <v>Mollon</v>
          </cell>
          <cell r="F43" t="str">
            <v>JP</v>
          </cell>
          <cell r="G43">
            <v>0</v>
          </cell>
          <cell r="H43" t="str">
            <v>Marketing France</v>
          </cell>
          <cell r="I43" t="str">
            <v>Crop Protection</v>
          </cell>
          <cell r="J43" t="str">
            <v>Mktg &amp; Bus. Dev.</v>
          </cell>
          <cell r="K43" t="str">
            <v>Europe</v>
          </cell>
          <cell r="L43" t="str">
            <v>A Chalandon</v>
          </cell>
          <cell r="M43">
            <v>0</v>
          </cell>
          <cell r="N43" t="str">
            <v>B</v>
          </cell>
          <cell r="O43" t="str">
            <v>NQ</v>
          </cell>
          <cell r="P43" t="str">
            <v>Local</v>
          </cell>
          <cell r="Q43" t="str">
            <v>France</v>
          </cell>
        </row>
        <row r="44">
          <cell r="B44" t="str">
            <v>Minard</v>
          </cell>
          <cell r="C44" t="str">
            <v>RP</v>
          </cell>
          <cell r="E44" t="str">
            <v>Minard</v>
          </cell>
          <cell r="F44" t="str">
            <v>Alain</v>
          </cell>
          <cell r="G44">
            <v>1945</v>
          </cell>
          <cell r="H44" t="str">
            <v>Startegic projects France</v>
          </cell>
          <cell r="I44" t="str">
            <v>Crop Protection</v>
          </cell>
          <cell r="J44">
            <v>0</v>
          </cell>
          <cell r="K44" t="str">
            <v>Europe</v>
          </cell>
          <cell r="L44" t="str">
            <v>A Chalandon</v>
          </cell>
          <cell r="M44">
            <v>1040</v>
          </cell>
          <cell r="N44" t="str">
            <v>4B</v>
          </cell>
          <cell r="O44" t="str">
            <v>NQ</v>
          </cell>
          <cell r="P44" t="str">
            <v>Local</v>
          </cell>
          <cell r="Q44" t="str">
            <v>France</v>
          </cell>
        </row>
        <row r="45">
          <cell r="B45" t="str">
            <v>Triebel</v>
          </cell>
          <cell r="C45" t="str">
            <v>AgrEvo</v>
          </cell>
          <cell r="E45" t="str">
            <v>Triebel</v>
          </cell>
          <cell r="F45">
            <v>0</v>
          </cell>
          <cell r="G45">
            <v>0</v>
          </cell>
          <cell r="H45" t="str">
            <v>Marketing, Regulation, Development Germany</v>
          </cell>
          <cell r="I45" t="str">
            <v>Crop Protection</v>
          </cell>
          <cell r="J45" t="str">
            <v>Mktg &amp; Bus. Dev.</v>
          </cell>
          <cell r="K45" t="str">
            <v>Europe</v>
          </cell>
          <cell r="L45" t="str">
            <v>H Schweers</v>
          </cell>
          <cell r="M45">
            <v>0</v>
          </cell>
          <cell r="N45" t="str">
            <v>B</v>
          </cell>
          <cell r="O45">
            <v>1142</v>
          </cell>
          <cell r="P45" t="str">
            <v>Local</v>
          </cell>
          <cell r="Q45" t="str">
            <v>Germany</v>
          </cell>
        </row>
        <row r="46">
          <cell r="B46" t="str">
            <v>Gatzweiller</v>
          </cell>
          <cell r="C46" t="str">
            <v>RP</v>
          </cell>
          <cell r="E46" t="str">
            <v>Gatzweiller</v>
          </cell>
          <cell r="F46" t="str">
            <v>Elmar</v>
          </cell>
          <cell r="G46">
            <v>1962</v>
          </cell>
          <cell r="H46" t="str">
            <v>Senior Global Regulatory manager</v>
          </cell>
          <cell r="I46" t="str">
            <v>CPPM</v>
          </cell>
          <cell r="J46" t="str">
            <v>Regulatory Affairs</v>
          </cell>
          <cell r="K46">
            <v>0</v>
          </cell>
          <cell r="L46" t="str">
            <v>N Sharek</v>
          </cell>
          <cell r="M46">
            <v>0</v>
          </cell>
          <cell r="N46">
            <v>6</v>
          </cell>
          <cell r="O46">
            <v>994</v>
          </cell>
          <cell r="P46" t="str">
            <v>Transferred</v>
          </cell>
          <cell r="Q46" t="str">
            <v>Germany</v>
          </cell>
          <cell r="R46" t="str">
            <v>France</v>
          </cell>
        </row>
        <row r="47">
          <cell r="B47" t="str">
            <v>Van der Kouwe</v>
          </cell>
          <cell r="C47" t="str">
            <v>RP</v>
          </cell>
          <cell r="E47" t="str">
            <v>Van der Kouwe</v>
          </cell>
          <cell r="F47" t="str">
            <v>Pier</v>
          </cell>
          <cell r="G47">
            <v>1959</v>
          </cell>
          <cell r="H47" t="str">
            <v>Senior Global Regulatory manager</v>
          </cell>
          <cell r="I47" t="str">
            <v>CPPM</v>
          </cell>
          <cell r="J47" t="str">
            <v>Regulatory Affairs</v>
          </cell>
          <cell r="K47">
            <v>0</v>
          </cell>
          <cell r="L47" t="str">
            <v>N Sharek</v>
          </cell>
          <cell r="M47">
            <v>654</v>
          </cell>
          <cell r="N47" t="str">
            <v>5B</v>
          </cell>
          <cell r="O47">
            <v>994</v>
          </cell>
          <cell r="P47" t="str">
            <v>Local</v>
          </cell>
          <cell r="Q47" t="str">
            <v>France</v>
          </cell>
        </row>
        <row r="48">
          <cell r="B48" t="str">
            <v>Ayers</v>
          </cell>
          <cell r="C48" t="str">
            <v>RP</v>
          </cell>
          <cell r="E48" t="str">
            <v>Ayers</v>
          </cell>
          <cell r="F48" t="str">
            <v>Alan</v>
          </cell>
          <cell r="G48">
            <v>1952</v>
          </cell>
          <cell r="H48" t="str">
            <v>Senior Global Regulatory manager</v>
          </cell>
          <cell r="I48" t="str">
            <v>CPPM</v>
          </cell>
          <cell r="J48" t="str">
            <v>Regulatory Affairs</v>
          </cell>
          <cell r="K48">
            <v>0</v>
          </cell>
          <cell r="L48" t="str">
            <v>N Sharek</v>
          </cell>
          <cell r="M48">
            <v>954</v>
          </cell>
          <cell r="N48">
            <v>0</v>
          </cell>
          <cell r="O48">
            <v>994</v>
          </cell>
          <cell r="P48" t="str">
            <v>Expat</v>
          </cell>
          <cell r="Q48" t="str">
            <v xml:space="preserve">US </v>
          </cell>
          <cell r="R48" t="str">
            <v>France</v>
          </cell>
        </row>
        <row r="49">
          <cell r="B49" t="str">
            <v xml:space="preserve">Heusel </v>
          </cell>
          <cell r="C49" t="str">
            <v>AgrEvo</v>
          </cell>
          <cell r="E49" t="str">
            <v xml:space="preserve">Heusel </v>
          </cell>
          <cell r="F49" t="str">
            <v>R</v>
          </cell>
          <cell r="G49">
            <v>0</v>
          </cell>
          <cell r="H49" t="str">
            <v>Senior Global Regulatory manager</v>
          </cell>
          <cell r="I49" t="str">
            <v>CPPM</v>
          </cell>
          <cell r="J49" t="str">
            <v>Regulatory Affairs</v>
          </cell>
          <cell r="K49">
            <v>0</v>
          </cell>
          <cell r="L49" t="str">
            <v>N Sharek</v>
          </cell>
          <cell r="M49">
            <v>0</v>
          </cell>
          <cell r="N49" t="str">
            <v>C</v>
          </cell>
          <cell r="O49">
            <v>994</v>
          </cell>
          <cell r="P49" t="str">
            <v>Transferee</v>
          </cell>
          <cell r="Q49" t="str">
            <v>Germany</v>
          </cell>
          <cell r="R49" t="str">
            <v>France</v>
          </cell>
        </row>
        <row r="50">
          <cell r="B50" t="str">
            <v>Saunders</v>
          </cell>
          <cell r="C50" t="str">
            <v>AgrEvo</v>
          </cell>
          <cell r="E50" t="str">
            <v>Saunders</v>
          </cell>
          <cell r="F50" t="str">
            <v>P</v>
          </cell>
          <cell r="G50">
            <v>0</v>
          </cell>
          <cell r="H50" t="str">
            <v>Senior Global Regulatory manager</v>
          </cell>
          <cell r="I50" t="str">
            <v>CPPM</v>
          </cell>
          <cell r="J50" t="str">
            <v>Regulatory Affairs</v>
          </cell>
          <cell r="K50">
            <v>0</v>
          </cell>
          <cell r="L50" t="str">
            <v>N Sharek</v>
          </cell>
          <cell r="M50">
            <v>0</v>
          </cell>
          <cell r="N50">
            <v>0</v>
          </cell>
          <cell r="O50">
            <v>994</v>
          </cell>
          <cell r="P50" t="str">
            <v>Transferee</v>
          </cell>
          <cell r="Q50" t="str">
            <v>UK</v>
          </cell>
          <cell r="R50" t="str">
            <v>France</v>
          </cell>
        </row>
        <row r="51">
          <cell r="B51" t="str">
            <v>Sagenmüller</v>
          </cell>
          <cell r="C51" t="str">
            <v>AgrEvo</v>
          </cell>
          <cell r="E51" t="str">
            <v>Sagenmüller</v>
          </cell>
          <cell r="F51" t="str">
            <v>A</v>
          </cell>
          <cell r="G51">
            <v>0</v>
          </cell>
          <cell r="H51" t="str">
            <v>Global IMP/ICM manager</v>
          </cell>
          <cell r="I51" t="str">
            <v>CPPM</v>
          </cell>
          <cell r="J51">
            <v>0</v>
          </cell>
          <cell r="K51">
            <v>0</v>
          </cell>
          <cell r="L51" t="str">
            <v>N Sharek</v>
          </cell>
          <cell r="M51">
            <v>0</v>
          </cell>
          <cell r="N51" t="str">
            <v>D</v>
          </cell>
          <cell r="O51">
            <v>830</v>
          </cell>
          <cell r="P51" t="str">
            <v>Transferee</v>
          </cell>
          <cell r="Q51" t="str">
            <v>Germany</v>
          </cell>
          <cell r="R51" t="str">
            <v>France</v>
          </cell>
        </row>
        <row r="52">
          <cell r="B52" t="str">
            <v>Verley</v>
          </cell>
          <cell r="C52" t="str">
            <v>RP</v>
          </cell>
          <cell r="E52" t="str">
            <v>Verley</v>
          </cell>
          <cell r="F52" t="str">
            <v>Raymond</v>
          </cell>
          <cell r="G52">
            <v>1960</v>
          </cell>
          <cell r="H52" t="str">
            <v>Portfolio divestiture and licensing</v>
          </cell>
          <cell r="I52" t="str">
            <v>CPPM</v>
          </cell>
          <cell r="J52">
            <v>0</v>
          </cell>
          <cell r="K52">
            <v>0</v>
          </cell>
          <cell r="L52" t="str">
            <v>E Zirakparvar</v>
          </cell>
          <cell r="M52" t="str">
            <v>not quoted</v>
          </cell>
          <cell r="N52" t="str">
            <v>4B</v>
          </cell>
          <cell r="O52" t="str">
            <v>1040 OU 954</v>
          </cell>
          <cell r="P52" t="str">
            <v>Local</v>
          </cell>
          <cell r="Q52" t="str">
            <v>France</v>
          </cell>
        </row>
        <row r="53">
          <cell r="B53" t="str">
            <v>O'Brien</v>
          </cell>
          <cell r="C53" t="str">
            <v>Agrevo</v>
          </cell>
          <cell r="E53" t="str">
            <v>O'Brien</v>
          </cell>
          <cell r="F53" t="str">
            <v>K</v>
          </cell>
          <cell r="G53">
            <v>0</v>
          </cell>
          <cell r="H53" t="str">
            <v>Field Seeds M&amp;A Projects</v>
          </cell>
          <cell r="I53" t="str">
            <v>Seeds / Crop Improvement</v>
          </cell>
          <cell r="J53">
            <v>0</v>
          </cell>
          <cell r="K53">
            <v>0</v>
          </cell>
          <cell r="L53" t="str">
            <v>L Kraft</v>
          </cell>
          <cell r="M53">
            <v>0</v>
          </cell>
          <cell r="N53">
            <v>0</v>
          </cell>
          <cell r="O53" t="str">
            <v>NQ</v>
          </cell>
        </row>
        <row r="54">
          <cell r="B54" t="str">
            <v>Eversheim</v>
          </cell>
          <cell r="C54" t="str">
            <v>Agrevo</v>
          </cell>
          <cell r="E54" t="str">
            <v>Eversheim</v>
          </cell>
          <cell r="F54" t="str">
            <v>F</v>
          </cell>
          <cell r="G54">
            <v>0</v>
          </cell>
          <cell r="H54" t="str">
            <v>Business development Cotton</v>
          </cell>
          <cell r="I54" t="str">
            <v>Seeds / Crop Improvement</v>
          </cell>
          <cell r="J54">
            <v>0</v>
          </cell>
          <cell r="K54">
            <v>0</v>
          </cell>
          <cell r="L54" t="str">
            <v>L Kraft</v>
          </cell>
          <cell r="M54">
            <v>0</v>
          </cell>
          <cell r="N54" t="str">
            <v>C</v>
          </cell>
          <cell r="O54" t="str">
            <v>954 mini</v>
          </cell>
          <cell r="P54" t="str">
            <v>Transferee</v>
          </cell>
          <cell r="Q54" t="str">
            <v>Germany</v>
          </cell>
          <cell r="R54" t="str">
            <v>France</v>
          </cell>
        </row>
        <row r="55">
          <cell r="B55" t="str">
            <v>Grange</v>
          </cell>
          <cell r="C55" t="str">
            <v>Agrevo</v>
          </cell>
          <cell r="E55" t="str">
            <v>Grange</v>
          </cell>
          <cell r="F55" t="str">
            <v>C</v>
          </cell>
          <cell r="G55">
            <v>0</v>
          </cell>
          <cell r="H55" t="str">
            <v>Business development Cotton</v>
          </cell>
          <cell r="I55" t="str">
            <v>Seeds / Crop Improvement</v>
          </cell>
          <cell r="J55">
            <v>0</v>
          </cell>
          <cell r="K55">
            <v>0</v>
          </cell>
          <cell r="L55" t="str">
            <v>L Kraft</v>
          </cell>
          <cell r="M55">
            <v>0</v>
          </cell>
          <cell r="N55">
            <v>0</v>
          </cell>
          <cell r="O55" t="str">
            <v>NQ</v>
          </cell>
        </row>
        <row r="56">
          <cell r="B56" t="str">
            <v>Ahlers</v>
          </cell>
          <cell r="C56" t="str">
            <v>Agrevo</v>
          </cell>
          <cell r="E56" t="str">
            <v>Ahlers</v>
          </cell>
          <cell r="F56" t="str">
            <v>G</v>
          </cell>
          <cell r="G56">
            <v>0</v>
          </cell>
          <cell r="H56" t="str">
            <v>Business development Cotton</v>
          </cell>
          <cell r="I56" t="str">
            <v>Seeds / Crop Improvement</v>
          </cell>
          <cell r="J56">
            <v>0</v>
          </cell>
          <cell r="K56">
            <v>0</v>
          </cell>
          <cell r="L56" t="str">
            <v>L Kraft</v>
          </cell>
          <cell r="M56">
            <v>0</v>
          </cell>
          <cell r="N56" t="str">
            <v>B</v>
          </cell>
          <cell r="O56" t="str">
            <v>NQ</v>
          </cell>
          <cell r="P56">
            <v>0</v>
          </cell>
          <cell r="Q56" t="str">
            <v>Germany</v>
          </cell>
        </row>
        <row r="57">
          <cell r="B57" t="str">
            <v>Dini</v>
          </cell>
          <cell r="C57" t="str">
            <v>RP</v>
          </cell>
          <cell r="E57" t="str">
            <v>Dini</v>
          </cell>
          <cell r="F57" t="str">
            <v>Alain</v>
          </cell>
          <cell r="G57">
            <v>1952</v>
          </cell>
          <cell r="H57" t="str">
            <v>PGA manager</v>
          </cell>
          <cell r="I57" t="str">
            <v>Seeds / Crop Improvement</v>
          </cell>
          <cell r="J57">
            <v>0</v>
          </cell>
          <cell r="K57">
            <v>0</v>
          </cell>
          <cell r="L57" t="str">
            <v>B Thomas</v>
          </cell>
          <cell r="M57">
            <v>1232</v>
          </cell>
          <cell r="N57" t="str">
            <v>4A</v>
          </cell>
          <cell r="O57" t="str">
            <v>NQ</v>
          </cell>
          <cell r="P57" t="str">
            <v>Local</v>
          </cell>
          <cell r="Q57" t="str">
            <v>France</v>
          </cell>
        </row>
        <row r="58">
          <cell r="B58" t="str">
            <v>Sarrazin</v>
          </cell>
          <cell r="C58" t="str">
            <v>Agrevo</v>
          </cell>
          <cell r="E58" t="str">
            <v>Sarrazin</v>
          </cell>
          <cell r="F58" t="str">
            <v>JF</v>
          </cell>
          <cell r="G58">
            <v>0</v>
          </cell>
          <cell r="H58" t="str">
            <v>Head Europe registrations</v>
          </cell>
          <cell r="I58" t="str">
            <v>Seeds / Crop Improvement</v>
          </cell>
          <cell r="J58" t="str">
            <v>Regulatory Affairs</v>
          </cell>
          <cell r="K58">
            <v>0</v>
          </cell>
          <cell r="L58" t="str">
            <v>B Thomas</v>
          </cell>
          <cell r="M58">
            <v>0</v>
          </cell>
          <cell r="N58">
            <v>0</v>
          </cell>
          <cell r="O58" t="str">
            <v>NQ</v>
          </cell>
          <cell r="P58">
            <v>0</v>
          </cell>
          <cell r="Q58" t="str">
            <v>Belgium</v>
          </cell>
        </row>
        <row r="59">
          <cell r="B59" t="str">
            <v>De Rose</v>
          </cell>
          <cell r="C59" t="str">
            <v>RP</v>
          </cell>
          <cell r="E59" t="str">
            <v>De Rose</v>
          </cell>
          <cell r="F59" t="str">
            <v>Richard</v>
          </cell>
          <cell r="G59">
            <v>1958</v>
          </cell>
          <cell r="H59" t="str">
            <v>Genomic Research Platform Evry</v>
          </cell>
          <cell r="I59" t="str">
            <v>CTO</v>
          </cell>
          <cell r="J59" t="str">
            <v>R&amp;D</v>
          </cell>
          <cell r="K59">
            <v>0</v>
          </cell>
          <cell r="L59" t="str">
            <v>G Freyssinet</v>
          </cell>
          <cell r="M59">
            <v>0</v>
          </cell>
          <cell r="N59">
            <v>6</v>
          </cell>
          <cell r="O59" t="str">
            <v>NQ</v>
          </cell>
          <cell r="P59" t="str">
            <v>Local</v>
          </cell>
          <cell r="Q59" t="str">
            <v>France</v>
          </cell>
        </row>
        <row r="60">
          <cell r="B60" t="str">
            <v>James</v>
          </cell>
          <cell r="C60" t="str">
            <v>RP</v>
          </cell>
          <cell r="E60" t="str">
            <v>James</v>
          </cell>
          <cell r="F60" t="str">
            <v>Evelyne</v>
          </cell>
          <cell r="G60">
            <v>1949</v>
          </cell>
          <cell r="H60" t="str">
            <v>Bioinformatic platform Evry</v>
          </cell>
          <cell r="I60" t="str">
            <v>CTO</v>
          </cell>
          <cell r="J60" t="str">
            <v>IT</v>
          </cell>
          <cell r="K60">
            <v>0</v>
          </cell>
          <cell r="L60" t="str">
            <v>G Freyssinet</v>
          </cell>
          <cell r="M60" t="str">
            <v>not quoted</v>
          </cell>
          <cell r="N60">
            <v>6</v>
          </cell>
          <cell r="O60" t="str">
            <v>1096 ou 1182</v>
          </cell>
          <cell r="P60" t="str">
            <v>Local</v>
          </cell>
          <cell r="Q60" t="str">
            <v>France</v>
          </cell>
        </row>
        <row r="61">
          <cell r="B61" t="str">
            <v>Rando</v>
          </cell>
          <cell r="C61" t="str">
            <v>RP</v>
          </cell>
          <cell r="E61" t="str">
            <v>Rando</v>
          </cell>
          <cell r="F61" t="str">
            <v>Joao</v>
          </cell>
          <cell r="G61">
            <v>1949</v>
          </cell>
          <cell r="H61" t="str">
            <v>Project SAP</v>
          </cell>
          <cell r="I61" t="str">
            <v>CFO</v>
          </cell>
          <cell r="J61" t="str">
            <v>IT</v>
          </cell>
          <cell r="K61">
            <v>0</v>
          </cell>
          <cell r="L61" t="str">
            <v>JP Lac</v>
          </cell>
          <cell r="M61" t="str">
            <v>not quoted</v>
          </cell>
          <cell r="N61" t="str">
            <v>4B</v>
          </cell>
          <cell r="O61">
            <v>1418</v>
          </cell>
          <cell r="P61" t="str">
            <v>Expat</v>
          </cell>
          <cell r="Q61" t="str">
            <v>Brazil</v>
          </cell>
          <cell r="R61" t="str">
            <v>France</v>
          </cell>
        </row>
        <row r="62">
          <cell r="B62" t="str">
            <v>Schwab</v>
          </cell>
          <cell r="C62" t="str">
            <v>RP</v>
          </cell>
          <cell r="E62" t="str">
            <v>Schwab</v>
          </cell>
          <cell r="F62" t="str">
            <v>Brian</v>
          </cell>
          <cell r="G62">
            <v>1964</v>
          </cell>
          <cell r="H62" t="str">
            <v>Corporate Legal Affairs</v>
          </cell>
          <cell r="I62" t="str">
            <v>CFO</v>
          </cell>
          <cell r="J62" t="str">
            <v>Legal</v>
          </cell>
          <cell r="K62">
            <v>0</v>
          </cell>
          <cell r="L62" t="str">
            <v>E Murgue</v>
          </cell>
          <cell r="M62">
            <v>775</v>
          </cell>
          <cell r="N62" t="str">
            <v>5B</v>
          </cell>
          <cell r="O62">
            <v>1358</v>
          </cell>
          <cell r="P62" t="str">
            <v>Local</v>
          </cell>
          <cell r="Q62" t="str">
            <v>France</v>
          </cell>
        </row>
        <row r="63">
          <cell r="B63" t="str">
            <v>Borredon (de)</v>
          </cell>
          <cell r="C63" t="str">
            <v>AgrEvo</v>
          </cell>
          <cell r="E63" t="str">
            <v>Borredon (de)</v>
          </cell>
          <cell r="F63" t="str">
            <v>Arnaud</v>
          </cell>
          <cell r="G63">
            <v>0</v>
          </cell>
          <cell r="H63" t="str">
            <v>Recognition system</v>
          </cell>
          <cell r="I63" t="str">
            <v>HRC</v>
          </cell>
          <cell r="J63" t="str">
            <v>HR</v>
          </cell>
          <cell r="K63">
            <v>0</v>
          </cell>
          <cell r="L63" t="str">
            <v>V Sjut</v>
          </cell>
          <cell r="M63">
            <v>0</v>
          </cell>
          <cell r="N63">
            <v>0</v>
          </cell>
          <cell r="O63">
            <v>954</v>
          </cell>
          <cell r="P63">
            <v>0</v>
          </cell>
          <cell r="Q63" t="str">
            <v>France</v>
          </cell>
        </row>
        <row r="64">
          <cell r="B64" t="str">
            <v>Sutton</v>
          </cell>
          <cell r="C64" t="str">
            <v>RPA</v>
          </cell>
          <cell r="E64" t="str">
            <v>Terry</v>
          </cell>
          <cell r="F64">
            <v>0</v>
          </cell>
          <cell r="G64">
            <v>1942</v>
          </cell>
          <cell r="H64" t="str">
            <v>HR North America</v>
          </cell>
          <cell r="I64" t="str">
            <v>Crop Protection</v>
          </cell>
          <cell r="J64" t="str">
            <v>HR</v>
          </cell>
          <cell r="K64" t="str">
            <v>North America</v>
          </cell>
          <cell r="L64" t="str">
            <v>M Delage</v>
          </cell>
          <cell r="M64">
            <v>1600</v>
          </cell>
          <cell r="N64" t="str">
            <v>4A</v>
          </cell>
          <cell r="O64">
            <v>1262</v>
          </cell>
          <cell r="P64" t="str">
            <v>Local</v>
          </cell>
          <cell r="Q64" t="str">
            <v>USA</v>
          </cell>
        </row>
        <row r="65">
          <cell r="B65" t="str">
            <v>Friedel</v>
          </cell>
          <cell r="C65" t="str">
            <v>AgrEvo</v>
          </cell>
          <cell r="E65" t="str">
            <v>Friedel</v>
          </cell>
          <cell r="F65" t="str">
            <v>René</v>
          </cell>
          <cell r="G65">
            <v>0</v>
          </cell>
          <cell r="H65" t="str">
            <v>Planning &amp; organizational system</v>
          </cell>
          <cell r="I65" t="str">
            <v>HRC</v>
          </cell>
          <cell r="J65" t="str">
            <v>HR</v>
          </cell>
          <cell r="K65">
            <v>0</v>
          </cell>
          <cell r="L65" t="str">
            <v>V Sjut</v>
          </cell>
          <cell r="M65">
            <v>0</v>
          </cell>
          <cell r="N65" t="str">
            <v>C</v>
          </cell>
          <cell r="O65">
            <v>1096</v>
          </cell>
          <cell r="P65" t="str">
            <v>Transferee</v>
          </cell>
          <cell r="Q65" t="str">
            <v>Germany</v>
          </cell>
          <cell r="R65" t="str">
            <v>France</v>
          </cell>
        </row>
      </sheetData>
      <sheetData sheetId="20" refreshError="1">
        <row r="4">
          <cell r="B4" t="str">
            <v xml:space="preserve">Barella * </v>
          </cell>
          <cell r="C4" t="str">
            <v>RP</v>
          </cell>
          <cell r="G4" t="str">
            <v xml:space="preserve">Barella * </v>
          </cell>
          <cell r="H4" t="str">
            <v>José</v>
          </cell>
          <cell r="I4">
            <v>1955</v>
          </cell>
          <cell r="J4" t="str">
            <v>Head of Envir. Business Line</v>
          </cell>
          <cell r="K4" t="str">
            <v>Envir</v>
          </cell>
          <cell r="L4">
            <v>0</v>
          </cell>
          <cell r="M4" t="str">
            <v>Envir.</v>
          </cell>
          <cell r="N4" t="str">
            <v>Housset P.</v>
          </cell>
          <cell r="O4">
            <v>0</v>
          </cell>
          <cell r="P4" t="str">
            <v>4B</v>
          </cell>
          <cell r="Q4">
            <v>1708</v>
          </cell>
          <cell r="R4" t="str">
            <v>Expat</v>
          </cell>
          <cell r="S4" t="str">
            <v>Brazil</v>
          </cell>
          <cell r="T4" t="str">
            <v>Germany</v>
          </cell>
        </row>
        <row r="5">
          <cell r="B5" t="str">
            <v>Blomer</v>
          </cell>
          <cell r="C5" t="str">
            <v>AgrEvo</v>
          </cell>
          <cell r="G5" t="str">
            <v>Blomer</v>
          </cell>
          <cell r="H5" t="str">
            <v>Remy</v>
          </cell>
          <cell r="I5">
            <v>1940</v>
          </cell>
          <cell r="J5" t="str">
            <v>IT</v>
          </cell>
          <cell r="K5" t="str">
            <v>CFO</v>
          </cell>
          <cell r="L5" t="str">
            <v>IT</v>
          </cell>
          <cell r="M5">
            <v>0</v>
          </cell>
          <cell r="N5" t="str">
            <v>Lac J.P.</v>
          </cell>
          <cell r="O5">
            <v>0</v>
          </cell>
          <cell r="P5" t="str">
            <v>B</v>
          </cell>
          <cell r="Q5">
            <v>1936</v>
          </cell>
          <cell r="R5" t="str">
            <v>Local</v>
          </cell>
          <cell r="S5" t="str">
            <v>Germany</v>
          </cell>
        </row>
        <row r="6">
          <cell r="B6" t="str">
            <v>Bohn</v>
          </cell>
          <cell r="C6" t="str">
            <v>AgrEvo</v>
          </cell>
          <cell r="G6" t="str">
            <v>Bohn</v>
          </cell>
          <cell r="H6" t="str">
            <v>Wolfgang</v>
          </cell>
          <cell r="I6">
            <v>1956</v>
          </cell>
          <cell r="J6" t="str">
            <v>Audit</v>
          </cell>
          <cell r="K6" t="str">
            <v>CFO</v>
          </cell>
          <cell r="L6" t="str">
            <v>Finance</v>
          </cell>
          <cell r="M6">
            <v>0</v>
          </cell>
          <cell r="N6" t="str">
            <v>Lac J.P.</v>
          </cell>
          <cell r="O6">
            <v>0</v>
          </cell>
          <cell r="P6" t="str">
            <v>B</v>
          </cell>
          <cell r="Q6">
            <v>1560</v>
          </cell>
          <cell r="R6" t="str">
            <v>Transferred</v>
          </cell>
          <cell r="S6" t="str">
            <v>Germany</v>
          </cell>
          <cell r="T6" t="str">
            <v>France</v>
          </cell>
        </row>
        <row r="7">
          <cell r="B7" t="str">
            <v>Bonnafoux</v>
          </cell>
          <cell r="C7" t="str">
            <v>RP</v>
          </cell>
          <cell r="G7" t="str">
            <v>Bonnafoux</v>
          </cell>
          <cell r="H7" t="str">
            <v>Henri</v>
          </cell>
          <cell r="I7">
            <v>1944</v>
          </cell>
          <cell r="J7" t="str">
            <v>Insecticides I</v>
          </cell>
          <cell r="K7" t="str">
            <v>CPPM</v>
          </cell>
          <cell r="L7" t="str">
            <v>Mktg &amp; Bus. Dev.</v>
          </cell>
          <cell r="M7" t="str">
            <v>CPPM</v>
          </cell>
          <cell r="N7" t="str">
            <v>Zirakparvar E.</v>
          </cell>
          <cell r="O7">
            <v>0</v>
          </cell>
          <cell r="P7">
            <v>3</v>
          </cell>
          <cell r="Q7">
            <v>1418</v>
          </cell>
          <cell r="R7" t="str">
            <v>Local</v>
          </cell>
          <cell r="S7" t="str">
            <v>France</v>
          </cell>
        </row>
        <row r="8">
          <cell r="B8" t="str">
            <v xml:space="preserve">Bridon </v>
          </cell>
          <cell r="C8" t="str">
            <v>RP</v>
          </cell>
          <cell r="G8" t="str">
            <v xml:space="preserve">Bridon </v>
          </cell>
          <cell r="H8" t="str">
            <v>Jean-Nöel</v>
          </cell>
          <cell r="I8">
            <v>1949</v>
          </cell>
          <cell r="J8" t="str">
            <v>Herbicides II</v>
          </cell>
          <cell r="K8" t="str">
            <v>CPPM</v>
          </cell>
          <cell r="L8" t="str">
            <v>Mktg &amp; Bus. Dev.</v>
          </cell>
          <cell r="M8" t="str">
            <v>CPPM</v>
          </cell>
          <cell r="N8" t="str">
            <v>Zirakparvar E.</v>
          </cell>
          <cell r="O8">
            <v>0</v>
          </cell>
          <cell r="P8" t="str">
            <v>4B</v>
          </cell>
          <cell r="Q8">
            <v>1628</v>
          </cell>
          <cell r="R8" t="str">
            <v>Local</v>
          </cell>
          <cell r="S8" t="str">
            <v>France</v>
          </cell>
        </row>
        <row r="9">
          <cell r="B9" t="str">
            <v xml:space="preserve">Broué </v>
          </cell>
          <cell r="C9" t="str">
            <v>RP</v>
          </cell>
          <cell r="G9" t="str">
            <v xml:space="preserve">Broué </v>
          </cell>
          <cell r="H9" t="str">
            <v>Jean</v>
          </cell>
          <cell r="I9">
            <v>1962</v>
          </cell>
          <cell r="J9" t="str">
            <v>Country Manager China</v>
          </cell>
          <cell r="K9" t="str">
            <v>Crop Protection</v>
          </cell>
          <cell r="L9" t="str">
            <v>Country Manager</v>
          </cell>
          <cell r="M9" t="str">
            <v>Asia Pacific</v>
          </cell>
          <cell r="N9" t="str">
            <v>Schlichting K.P.</v>
          </cell>
          <cell r="O9">
            <v>0</v>
          </cell>
          <cell r="P9" t="str">
            <v>4B</v>
          </cell>
          <cell r="Q9">
            <v>1232</v>
          </cell>
          <cell r="R9" t="str">
            <v>Expat</v>
          </cell>
          <cell r="S9" t="str">
            <v>France</v>
          </cell>
          <cell r="T9" t="str">
            <v>China</v>
          </cell>
        </row>
        <row r="10">
          <cell r="B10" t="str">
            <v>Chalandon</v>
          </cell>
          <cell r="C10" t="str">
            <v>RP</v>
          </cell>
          <cell r="G10" t="str">
            <v>Chalandon</v>
          </cell>
          <cell r="H10" t="str">
            <v>Alain</v>
          </cell>
          <cell r="I10">
            <v>1949</v>
          </cell>
          <cell r="J10" t="str">
            <v>Country Manager France</v>
          </cell>
          <cell r="K10" t="str">
            <v>Crop Protection</v>
          </cell>
          <cell r="L10" t="str">
            <v>Country Manager</v>
          </cell>
          <cell r="M10" t="str">
            <v>Europe</v>
          </cell>
          <cell r="N10" t="str">
            <v>Von Olfers H.</v>
          </cell>
          <cell r="O10">
            <v>0</v>
          </cell>
          <cell r="P10">
            <v>3</v>
          </cell>
          <cell r="Q10">
            <v>1708</v>
          </cell>
          <cell r="R10" t="str">
            <v>Local</v>
          </cell>
          <cell r="S10" t="str">
            <v>France</v>
          </cell>
        </row>
        <row r="11">
          <cell r="B11" t="str">
            <v xml:space="preserve">Clarke </v>
          </cell>
          <cell r="C11" t="str">
            <v>RP</v>
          </cell>
          <cell r="G11" t="str">
            <v xml:space="preserve">Clarke </v>
          </cell>
          <cell r="H11" t="str">
            <v>Chris</v>
          </cell>
          <cell r="I11">
            <v>1946</v>
          </cell>
          <cell r="J11" t="str">
            <v>Projects</v>
          </cell>
          <cell r="K11" t="str">
            <v>CPPM</v>
          </cell>
          <cell r="L11" t="str">
            <v>Mktg &amp; Bus. Dev.</v>
          </cell>
          <cell r="M11" t="str">
            <v>CPPM</v>
          </cell>
          <cell r="N11" t="str">
            <v>Zirakparvar E.</v>
          </cell>
          <cell r="O11">
            <v>0</v>
          </cell>
          <cell r="P11" t="str">
            <v>4B</v>
          </cell>
          <cell r="Q11">
            <v>1628</v>
          </cell>
          <cell r="R11" t="str">
            <v>Local</v>
          </cell>
          <cell r="S11" t="str">
            <v>France</v>
          </cell>
        </row>
        <row r="12">
          <cell r="B12" t="str">
            <v>Convent</v>
          </cell>
          <cell r="C12" t="str">
            <v>AgrEvo</v>
          </cell>
          <cell r="G12" t="str">
            <v>Convent</v>
          </cell>
          <cell r="H12" t="str">
            <v>Bernardino</v>
          </cell>
          <cell r="I12">
            <v>1945</v>
          </cell>
          <cell r="J12" t="str">
            <v>Manager Global R+D Crop Improvement</v>
          </cell>
          <cell r="K12" t="str">
            <v>CTO</v>
          </cell>
          <cell r="L12" t="str">
            <v>R&amp;D</v>
          </cell>
          <cell r="M12">
            <v>0</v>
          </cell>
          <cell r="N12" t="str">
            <v>Asshauer J.</v>
          </cell>
          <cell r="O12">
            <v>0</v>
          </cell>
          <cell r="P12" t="str">
            <v>A</v>
          </cell>
          <cell r="Q12">
            <v>1628</v>
          </cell>
          <cell r="R12" t="str">
            <v>Local</v>
          </cell>
          <cell r="S12" t="str">
            <v>Belgium</v>
          </cell>
        </row>
        <row r="13">
          <cell r="B13" t="str">
            <v>Delage</v>
          </cell>
          <cell r="C13" t="str">
            <v>AgrEvo</v>
          </cell>
          <cell r="G13" t="str">
            <v>Delage</v>
          </cell>
          <cell r="H13" t="str">
            <v>Maurice</v>
          </cell>
          <cell r="I13">
            <v>1951</v>
          </cell>
          <cell r="J13" t="str">
            <v>North American Region Head</v>
          </cell>
          <cell r="K13" t="str">
            <v>Crop Protection</v>
          </cell>
          <cell r="L13" t="str">
            <v>Region</v>
          </cell>
          <cell r="M13" t="str">
            <v>North America</v>
          </cell>
          <cell r="N13" t="str">
            <v>Stranges I.</v>
          </cell>
          <cell r="O13">
            <v>0</v>
          </cell>
          <cell r="P13" t="str">
            <v>A</v>
          </cell>
          <cell r="Q13">
            <v>2128</v>
          </cell>
          <cell r="R13" t="str">
            <v>Local</v>
          </cell>
          <cell r="S13" t="str">
            <v>Canada/US</v>
          </cell>
        </row>
        <row r="14">
          <cell r="B14" t="str">
            <v>Döllinger</v>
          </cell>
          <cell r="C14" t="str">
            <v>AgrEvo</v>
          </cell>
          <cell r="G14" t="str">
            <v>Döllinger</v>
          </cell>
          <cell r="H14" t="str">
            <v>Lothar</v>
          </cell>
          <cell r="I14">
            <v>1951</v>
          </cell>
          <cell r="J14" t="str">
            <v>Global EHS + Quality Management</v>
          </cell>
          <cell r="K14" t="str">
            <v>SCM</v>
          </cell>
          <cell r="L14">
            <v>0</v>
          </cell>
          <cell r="M14">
            <v>0</v>
          </cell>
          <cell r="N14" t="str">
            <v>Mc Manus</v>
          </cell>
          <cell r="O14">
            <v>0</v>
          </cell>
          <cell r="P14" t="str">
            <v>A</v>
          </cell>
          <cell r="Q14">
            <v>1418</v>
          </cell>
          <cell r="R14" t="str">
            <v>Local</v>
          </cell>
          <cell r="S14" t="str">
            <v>Germany</v>
          </cell>
        </row>
        <row r="15">
          <cell r="B15" t="str">
            <v>Dorn</v>
          </cell>
          <cell r="C15" t="str">
            <v>AgrEvo</v>
          </cell>
          <cell r="G15" t="str">
            <v>Dorn</v>
          </cell>
          <cell r="H15" t="str">
            <v>Erich</v>
          </cell>
          <cell r="I15">
            <v>1949</v>
          </cell>
          <cell r="J15" t="str">
            <v>Manager Global Development NCE's</v>
          </cell>
          <cell r="K15" t="str">
            <v>CTO</v>
          </cell>
          <cell r="L15" t="str">
            <v>R&amp;D</v>
          </cell>
          <cell r="M15">
            <v>0</v>
          </cell>
          <cell r="N15" t="str">
            <v>Asshauer J.</v>
          </cell>
          <cell r="O15">
            <v>0</v>
          </cell>
          <cell r="P15" t="str">
            <v>B</v>
          </cell>
          <cell r="Q15">
            <v>1628</v>
          </cell>
          <cell r="R15" t="str">
            <v>Local</v>
          </cell>
          <cell r="S15" t="str">
            <v>Germany</v>
          </cell>
        </row>
        <row r="16">
          <cell r="B16" t="str">
            <v>Drinkwater</v>
          </cell>
          <cell r="C16" t="str">
            <v>RP</v>
          </cell>
          <cell r="G16" t="str">
            <v>Drinkwater</v>
          </cell>
          <cell r="H16" t="str">
            <v>John</v>
          </cell>
          <cell r="I16">
            <v>1957</v>
          </cell>
          <cell r="J16" t="str">
            <v>Country Manager UK</v>
          </cell>
          <cell r="K16" t="str">
            <v>Crop Protection</v>
          </cell>
          <cell r="L16" t="str">
            <v>Country Manager</v>
          </cell>
          <cell r="M16" t="str">
            <v>Europe</v>
          </cell>
          <cell r="N16" t="str">
            <v>Von Olfers H.</v>
          </cell>
          <cell r="O16">
            <v>1458</v>
          </cell>
          <cell r="P16" t="str">
            <v>Executive</v>
          </cell>
          <cell r="Q16">
            <v>1486</v>
          </cell>
          <cell r="R16" t="str">
            <v>Local</v>
          </cell>
          <cell r="S16" t="str">
            <v>UK</v>
          </cell>
        </row>
        <row r="17">
          <cell r="B17" t="str">
            <v>Du Puy</v>
          </cell>
          <cell r="C17" t="str">
            <v>RP</v>
          </cell>
          <cell r="G17" t="str">
            <v>Du Puy</v>
          </cell>
          <cell r="H17" t="str">
            <v>Jacques</v>
          </cell>
          <cell r="I17">
            <v>1958</v>
          </cell>
          <cell r="J17" t="str">
            <v>Country Manager Japan</v>
          </cell>
          <cell r="K17" t="str">
            <v>Crop Protection</v>
          </cell>
          <cell r="L17" t="str">
            <v>Country Manager</v>
          </cell>
          <cell r="M17" t="str">
            <v>Asia Pacific</v>
          </cell>
          <cell r="N17" t="str">
            <v>Schlichting K.P.</v>
          </cell>
          <cell r="O17">
            <v>0</v>
          </cell>
          <cell r="P17" t="str">
            <v>4A</v>
          </cell>
          <cell r="Q17">
            <v>1486</v>
          </cell>
          <cell r="R17" t="str">
            <v>Expat</v>
          </cell>
          <cell r="S17" t="str">
            <v>France</v>
          </cell>
          <cell r="T17" t="str">
            <v>Japan</v>
          </cell>
        </row>
        <row r="18">
          <cell r="B18" t="str">
            <v>Dumont</v>
          </cell>
          <cell r="C18" t="str">
            <v>RP</v>
          </cell>
          <cell r="G18" t="str">
            <v>Dumont</v>
          </cell>
          <cell r="H18" t="str">
            <v>Philippe</v>
          </cell>
          <cell r="I18">
            <v>1951</v>
          </cell>
          <cell r="J18" t="str">
            <v>Trait Management</v>
          </cell>
          <cell r="K18" t="str">
            <v>Seeds / Crop Improvement</v>
          </cell>
          <cell r="L18">
            <v>0</v>
          </cell>
          <cell r="M18">
            <v>0</v>
          </cell>
          <cell r="N18">
            <v>0</v>
          </cell>
          <cell r="O18">
            <v>0</v>
          </cell>
          <cell r="P18" t="str">
            <v>4A</v>
          </cell>
          <cell r="Q18">
            <v>1418</v>
          </cell>
          <cell r="R18" t="str">
            <v>Local</v>
          </cell>
          <cell r="S18" t="str">
            <v>France</v>
          </cell>
        </row>
        <row r="19">
          <cell r="B19" t="str">
            <v xml:space="preserve">Duroni </v>
          </cell>
          <cell r="C19" t="str">
            <v>RP</v>
          </cell>
          <cell r="G19" t="str">
            <v xml:space="preserve">Duroni </v>
          </cell>
          <cell r="H19" t="str">
            <v>Olivier</v>
          </cell>
          <cell r="I19">
            <v>1963</v>
          </cell>
          <cell r="J19" t="str">
            <v>Country Manager Australia</v>
          </cell>
          <cell r="K19" t="str">
            <v>Crop Protection</v>
          </cell>
          <cell r="L19" t="str">
            <v>Country Manager</v>
          </cell>
          <cell r="M19" t="str">
            <v>Asia Pacific</v>
          </cell>
          <cell r="N19" t="str">
            <v>Schlichting K.P.</v>
          </cell>
          <cell r="O19">
            <v>0</v>
          </cell>
          <cell r="P19" t="str">
            <v>4A</v>
          </cell>
          <cell r="Q19">
            <v>1486</v>
          </cell>
          <cell r="R19" t="str">
            <v>Expat</v>
          </cell>
          <cell r="S19" t="str">
            <v>France</v>
          </cell>
          <cell r="T19" t="str">
            <v>Australia</v>
          </cell>
        </row>
        <row r="20">
          <cell r="B20" t="str">
            <v>Freyssinet</v>
          </cell>
          <cell r="C20" t="str">
            <v>RP</v>
          </cell>
          <cell r="G20" t="str">
            <v>Freyssinet</v>
          </cell>
          <cell r="H20" t="str">
            <v>Georges</v>
          </cell>
          <cell r="I20">
            <v>1946</v>
          </cell>
          <cell r="J20" t="str">
            <v>Genomics</v>
          </cell>
          <cell r="K20" t="str">
            <v>CTO</v>
          </cell>
          <cell r="L20" t="str">
            <v>R&amp;D</v>
          </cell>
          <cell r="M20">
            <v>0</v>
          </cell>
          <cell r="N20" t="str">
            <v>Asshauer J.</v>
          </cell>
          <cell r="O20">
            <v>0</v>
          </cell>
          <cell r="P20" t="str">
            <v>5A</v>
          </cell>
          <cell r="Q20">
            <v>1936</v>
          </cell>
          <cell r="R20" t="str">
            <v>Local</v>
          </cell>
          <cell r="S20" t="str">
            <v>France</v>
          </cell>
        </row>
        <row r="21">
          <cell r="B21" t="str">
            <v>Goetgheluck</v>
          </cell>
          <cell r="C21" t="str">
            <v>AgrEvo</v>
          </cell>
          <cell r="G21" t="str">
            <v>Goetgheluck</v>
          </cell>
          <cell r="H21" t="str">
            <v>Remy</v>
          </cell>
          <cell r="I21">
            <v>0</v>
          </cell>
          <cell r="J21" t="str">
            <v>Insecticides II</v>
          </cell>
          <cell r="K21" t="str">
            <v>CPPM</v>
          </cell>
          <cell r="L21" t="str">
            <v>Mktg &amp; Bus. Dev.</v>
          </cell>
          <cell r="M21" t="str">
            <v>CPPM</v>
          </cell>
          <cell r="N21" t="str">
            <v>Zirakparvar E.</v>
          </cell>
          <cell r="O21">
            <v>0</v>
          </cell>
          <cell r="P21" t="str">
            <v>B</v>
          </cell>
          <cell r="Q21">
            <v>1628</v>
          </cell>
          <cell r="R21" t="str">
            <v>Local</v>
          </cell>
          <cell r="S21" t="str">
            <v>France</v>
          </cell>
        </row>
        <row r="22">
          <cell r="B22" t="str">
            <v>Greiner</v>
          </cell>
          <cell r="C22" t="str">
            <v>RP</v>
          </cell>
          <cell r="G22" t="str">
            <v>Greiner</v>
          </cell>
          <cell r="H22" t="str">
            <v>Alfred</v>
          </cell>
          <cell r="I22">
            <v>1949</v>
          </cell>
          <cell r="J22" t="str">
            <v>Manager Global Discovery NCE's</v>
          </cell>
          <cell r="K22" t="str">
            <v>CTO</v>
          </cell>
          <cell r="L22" t="str">
            <v>R&amp;D</v>
          </cell>
          <cell r="M22">
            <v>0</v>
          </cell>
          <cell r="N22" t="str">
            <v>Asshauer J.</v>
          </cell>
          <cell r="O22">
            <v>0</v>
          </cell>
          <cell r="P22" t="str">
            <v>4B</v>
          </cell>
          <cell r="Q22">
            <v>1788</v>
          </cell>
          <cell r="R22" t="str">
            <v>Local</v>
          </cell>
          <cell r="S22" t="str">
            <v>France</v>
          </cell>
        </row>
        <row r="23">
          <cell r="B23" t="str">
            <v xml:space="preserve">Henkel </v>
          </cell>
          <cell r="C23" t="str">
            <v>AgrEvo</v>
          </cell>
          <cell r="G23" t="str">
            <v xml:space="preserve">Henkel </v>
          </cell>
          <cell r="H23" t="str">
            <v>Peter</v>
          </cell>
          <cell r="I23">
            <v>0</v>
          </cell>
          <cell r="J23" t="str">
            <v>Managing Director ACS GmbH Germany</v>
          </cell>
          <cell r="K23" t="str">
            <v>Others</v>
          </cell>
          <cell r="L23">
            <v>0</v>
          </cell>
          <cell r="M23">
            <v>0</v>
          </cell>
          <cell r="N23" t="str">
            <v>Prante</v>
          </cell>
          <cell r="O23">
            <v>0</v>
          </cell>
          <cell r="P23" t="str">
            <v>GF</v>
          </cell>
          <cell r="Q23">
            <v>1628</v>
          </cell>
          <cell r="R23" t="str">
            <v>Local</v>
          </cell>
          <cell r="S23" t="str">
            <v>Germany</v>
          </cell>
        </row>
        <row r="24">
          <cell r="B24" t="str">
            <v xml:space="preserve">Howard </v>
          </cell>
          <cell r="C24" t="str">
            <v>AgrEvo</v>
          </cell>
          <cell r="G24" t="str">
            <v xml:space="preserve">Howard </v>
          </cell>
          <cell r="H24" t="str">
            <v>Samuel</v>
          </cell>
          <cell r="I24">
            <v>1956</v>
          </cell>
          <cell r="J24" t="str">
            <v>Herbicides I</v>
          </cell>
          <cell r="K24" t="str">
            <v>CPPM</v>
          </cell>
          <cell r="L24" t="str">
            <v>Mktg &amp; Bus. Dev.</v>
          </cell>
          <cell r="M24">
            <v>0</v>
          </cell>
          <cell r="N24" t="str">
            <v>Zirakparvar E.</v>
          </cell>
          <cell r="O24">
            <v>0</v>
          </cell>
          <cell r="P24" t="str">
            <v>B</v>
          </cell>
          <cell r="Q24">
            <v>1628</v>
          </cell>
          <cell r="R24" t="str">
            <v>Expat</v>
          </cell>
          <cell r="S24" t="str">
            <v>Australia</v>
          </cell>
          <cell r="T24" t="str">
            <v>Germany</v>
          </cell>
        </row>
        <row r="25">
          <cell r="B25" t="str">
            <v xml:space="preserve">Howard </v>
          </cell>
          <cell r="C25">
            <v>0</v>
          </cell>
          <cell r="G25" t="str">
            <v xml:space="preserve">Howard </v>
          </cell>
        </row>
        <row r="26">
          <cell r="B26" t="str">
            <v>Jouffret</v>
          </cell>
          <cell r="C26" t="str">
            <v>RP</v>
          </cell>
          <cell r="G26" t="str">
            <v>Jouffret</v>
          </cell>
          <cell r="H26" t="str">
            <v>Michel</v>
          </cell>
          <cell r="I26">
            <v>1941</v>
          </cell>
          <cell r="J26" t="str">
            <v>HR  Advisor</v>
          </cell>
          <cell r="K26" t="str">
            <v>HRC</v>
          </cell>
          <cell r="L26" t="str">
            <v>HR</v>
          </cell>
          <cell r="M26">
            <v>0</v>
          </cell>
          <cell r="N26" t="str">
            <v>Timner H.J.</v>
          </cell>
          <cell r="O26">
            <v>0</v>
          </cell>
          <cell r="P26" t="str">
            <v>4A</v>
          </cell>
          <cell r="Q26" t="str">
            <v>Not quoted</v>
          </cell>
          <cell r="R26" t="str">
            <v>Local</v>
          </cell>
          <cell r="S26" t="str">
            <v>France</v>
          </cell>
        </row>
        <row r="27">
          <cell r="B27" t="str">
            <v xml:space="preserve">Kaushik </v>
          </cell>
          <cell r="C27" t="str">
            <v>AgrEvo</v>
          </cell>
          <cell r="G27" t="str">
            <v xml:space="preserve">Kaushik </v>
          </cell>
          <cell r="H27" t="str">
            <v>Sagar</v>
          </cell>
          <cell r="I27">
            <v>1952</v>
          </cell>
          <cell r="J27" t="str">
            <v>Country Manager India</v>
          </cell>
          <cell r="K27" t="str">
            <v>Crop Protection</v>
          </cell>
          <cell r="L27" t="str">
            <v>Country Manager</v>
          </cell>
          <cell r="M27" t="str">
            <v>Asia Pacific</v>
          </cell>
          <cell r="N27" t="str">
            <v>Schlichting K.P.</v>
          </cell>
          <cell r="O27">
            <v>0</v>
          </cell>
          <cell r="P27" t="str">
            <v>B</v>
          </cell>
          <cell r="Q27">
            <v>1486</v>
          </cell>
          <cell r="R27" t="str">
            <v>Local</v>
          </cell>
          <cell r="S27" t="str">
            <v>India</v>
          </cell>
        </row>
        <row r="28">
          <cell r="B28" t="str">
            <v>Kneen</v>
          </cell>
          <cell r="C28" t="str">
            <v>AgrEvo</v>
          </cell>
          <cell r="G28" t="str">
            <v>Kneen</v>
          </cell>
          <cell r="H28" t="str">
            <v>Geoffrey</v>
          </cell>
          <cell r="I28">
            <v>1949</v>
          </cell>
          <cell r="J28" t="str">
            <v>Fungicides I</v>
          </cell>
          <cell r="K28" t="str">
            <v>CPPM</v>
          </cell>
          <cell r="L28" t="str">
            <v>Mktg &amp; Bus. Dev.</v>
          </cell>
          <cell r="M28" t="str">
            <v>CPPM</v>
          </cell>
          <cell r="N28" t="str">
            <v>Zirakparvar E.</v>
          </cell>
          <cell r="O28">
            <v>0</v>
          </cell>
          <cell r="P28" t="str">
            <v>A</v>
          </cell>
          <cell r="Q28">
            <v>1628</v>
          </cell>
          <cell r="R28" t="str">
            <v>Transferred</v>
          </cell>
          <cell r="S28" t="str">
            <v>UK</v>
          </cell>
          <cell r="T28" t="str">
            <v>Germany</v>
          </cell>
        </row>
        <row r="29">
          <cell r="B29" t="str">
            <v>Kraft</v>
          </cell>
          <cell r="C29" t="str">
            <v>AgrEvo</v>
          </cell>
          <cell r="G29" t="str">
            <v>Kraft</v>
          </cell>
          <cell r="H29" t="str">
            <v>Lutz</v>
          </cell>
          <cell r="I29">
            <v>1953</v>
          </cell>
          <cell r="J29" t="str">
            <v>Head of Field Seeds</v>
          </cell>
          <cell r="K29" t="str">
            <v>Seeds / Crop Improvement</v>
          </cell>
          <cell r="L29">
            <v>0</v>
          </cell>
          <cell r="M29">
            <v>0</v>
          </cell>
          <cell r="N29" t="str">
            <v>Dannigkeit</v>
          </cell>
          <cell r="O29">
            <v>0</v>
          </cell>
          <cell r="P29" t="str">
            <v>A</v>
          </cell>
          <cell r="Q29">
            <v>1708</v>
          </cell>
          <cell r="R29" t="str">
            <v>Transferred</v>
          </cell>
          <cell r="S29" t="str">
            <v>Germany</v>
          </cell>
          <cell r="T29" t="str">
            <v>France</v>
          </cell>
        </row>
        <row r="30">
          <cell r="B30" t="str">
            <v>Labrosse</v>
          </cell>
          <cell r="C30" t="str">
            <v>RP</v>
          </cell>
          <cell r="G30" t="str">
            <v>Labrosse</v>
          </cell>
          <cell r="H30" t="str">
            <v>Bruno</v>
          </cell>
          <cell r="I30">
            <v>1961</v>
          </cell>
          <cell r="J30" t="str">
            <v>Corporate Finance</v>
          </cell>
          <cell r="K30" t="str">
            <v>CFO</v>
          </cell>
          <cell r="L30" t="str">
            <v>Finance</v>
          </cell>
          <cell r="M30">
            <v>0</v>
          </cell>
          <cell r="N30" t="str">
            <v>Lac J.P.</v>
          </cell>
          <cell r="O30">
            <v>0</v>
          </cell>
          <cell r="P30" t="str">
            <v>4B</v>
          </cell>
          <cell r="Q30">
            <v>1560</v>
          </cell>
          <cell r="R30" t="str">
            <v>Local</v>
          </cell>
          <cell r="S30" t="str">
            <v>France</v>
          </cell>
        </row>
        <row r="31">
          <cell r="B31" t="str">
            <v xml:space="preserve">Lange </v>
          </cell>
          <cell r="C31" t="str">
            <v>AgrEvo</v>
          </cell>
          <cell r="G31" t="str">
            <v xml:space="preserve">Lange </v>
          </cell>
          <cell r="H31" t="str">
            <v>Henk</v>
          </cell>
          <cell r="I31">
            <v>1938</v>
          </cell>
          <cell r="J31" t="str">
            <v>Vegetable Seeds</v>
          </cell>
          <cell r="K31" t="str">
            <v>Seeds / Crop Improvement</v>
          </cell>
          <cell r="L31">
            <v>0</v>
          </cell>
          <cell r="M31">
            <v>0</v>
          </cell>
          <cell r="N31" t="str">
            <v>Dannigkeit</v>
          </cell>
          <cell r="O31">
            <v>0</v>
          </cell>
          <cell r="P31" t="str">
            <v>A</v>
          </cell>
          <cell r="Q31">
            <v>1708</v>
          </cell>
          <cell r="R31" t="str">
            <v>Local</v>
          </cell>
          <cell r="S31" t="str">
            <v>Netherlands</v>
          </cell>
        </row>
        <row r="32">
          <cell r="B32" t="str">
            <v>Makowski</v>
          </cell>
          <cell r="C32" t="str">
            <v>AgrEvo</v>
          </cell>
          <cell r="G32" t="str">
            <v>Makowski</v>
          </cell>
          <cell r="H32" t="str">
            <v>Edward J.</v>
          </cell>
          <cell r="I32">
            <v>1953</v>
          </cell>
          <cell r="J32" t="str">
            <v>R&amp;D NA - Market Development</v>
          </cell>
          <cell r="K32" t="str">
            <v>Crop Protection</v>
          </cell>
          <cell r="L32" t="str">
            <v>Mktg &amp; Bus. Dev.</v>
          </cell>
          <cell r="M32" t="str">
            <v>North America</v>
          </cell>
          <cell r="N32" t="str">
            <v>Delage M.</v>
          </cell>
          <cell r="O32">
            <v>0</v>
          </cell>
          <cell r="P32" t="str">
            <v>B</v>
          </cell>
          <cell r="Q32">
            <v>1418</v>
          </cell>
          <cell r="R32" t="str">
            <v>Local</v>
          </cell>
          <cell r="S32" t="str">
            <v>USA</v>
          </cell>
        </row>
        <row r="33">
          <cell r="B33" t="str">
            <v>Martinet</v>
          </cell>
          <cell r="C33" t="str">
            <v>RP</v>
          </cell>
          <cell r="G33" t="str">
            <v>Martinet</v>
          </cell>
          <cell r="H33" t="str">
            <v>Jean-Pierre</v>
          </cell>
          <cell r="I33">
            <v>1945</v>
          </cell>
          <cell r="J33" t="str">
            <v>Manager Site Operations</v>
          </cell>
          <cell r="K33" t="str">
            <v>SCM</v>
          </cell>
          <cell r="L33" t="str">
            <v>Supply Chain</v>
          </cell>
          <cell r="M33">
            <v>0</v>
          </cell>
          <cell r="N33" t="str">
            <v>Mc Manus</v>
          </cell>
          <cell r="O33">
            <v>0</v>
          </cell>
          <cell r="P33">
            <v>3</v>
          </cell>
          <cell r="Q33">
            <v>1708</v>
          </cell>
          <cell r="R33" t="str">
            <v>Local</v>
          </cell>
          <cell r="S33" t="str">
            <v>France</v>
          </cell>
        </row>
        <row r="34">
          <cell r="B34" t="str">
            <v>Mc Donnell</v>
          </cell>
          <cell r="C34" t="str">
            <v>RP</v>
          </cell>
          <cell r="G34" t="str">
            <v>Mc Donnell</v>
          </cell>
          <cell r="H34" t="str">
            <v>Patrick</v>
          </cell>
          <cell r="I34">
            <v>1958</v>
          </cell>
          <cell r="J34" t="str">
            <v>US Crop Protection Sales</v>
          </cell>
          <cell r="K34" t="str">
            <v>Crop Protection</v>
          </cell>
          <cell r="L34" t="str">
            <v>Region</v>
          </cell>
          <cell r="M34" t="str">
            <v>North America</v>
          </cell>
          <cell r="N34" t="str">
            <v>Delage M.</v>
          </cell>
          <cell r="O34">
            <v>1292</v>
          </cell>
          <cell r="P34" t="str">
            <v>4A</v>
          </cell>
          <cell r="Q34">
            <v>1486</v>
          </cell>
          <cell r="R34" t="str">
            <v>Local</v>
          </cell>
          <cell r="S34" t="str">
            <v>USA</v>
          </cell>
        </row>
        <row r="35">
          <cell r="B35" t="str">
            <v>Morgan</v>
          </cell>
          <cell r="C35" t="str">
            <v>AgrEvo</v>
          </cell>
          <cell r="G35" t="str">
            <v>Morgan</v>
          </cell>
          <cell r="H35" t="str">
            <v>David</v>
          </cell>
          <cell r="I35">
            <v>1955</v>
          </cell>
          <cell r="J35" t="str">
            <v>Corporate Strategy</v>
          </cell>
          <cell r="K35" t="str">
            <v>BSD</v>
          </cell>
          <cell r="L35" t="str">
            <v>Strategy</v>
          </cell>
          <cell r="M35">
            <v>0</v>
          </cell>
          <cell r="N35" t="str">
            <v>Housset P.</v>
          </cell>
          <cell r="O35">
            <v>0</v>
          </cell>
          <cell r="P35" t="str">
            <v>B</v>
          </cell>
          <cell r="Q35">
            <v>1560</v>
          </cell>
          <cell r="R35" t="str">
            <v>Transferred</v>
          </cell>
          <cell r="S35" t="str">
            <v>UK</v>
          </cell>
          <cell r="T35" t="str">
            <v>France</v>
          </cell>
        </row>
        <row r="36">
          <cell r="B36" t="str">
            <v>Murgue</v>
          </cell>
          <cell r="C36" t="str">
            <v>RP</v>
          </cell>
          <cell r="G36" t="str">
            <v>Murgue</v>
          </cell>
          <cell r="H36" t="str">
            <v>Emmanuel</v>
          </cell>
          <cell r="I36">
            <v>1958</v>
          </cell>
          <cell r="J36" t="str">
            <v>Legal Director Region Head</v>
          </cell>
          <cell r="K36" t="str">
            <v>CFO</v>
          </cell>
          <cell r="L36" t="str">
            <v>Legal</v>
          </cell>
          <cell r="M36">
            <v>0</v>
          </cell>
          <cell r="N36" t="str">
            <v>Lac J.P.</v>
          </cell>
          <cell r="O36">
            <v>0</v>
          </cell>
          <cell r="P36" t="str">
            <v>4A</v>
          </cell>
          <cell r="Q36">
            <v>1936</v>
          </cell>
          <cell r="R36" t="str">
            <v>Local</v>
          </cell>
          <cell r="S36" t="str">
            <v>France</v>
          </cell>
        </row>
        <row r="37">
          <cell r="B37" t="str">
            <v>Ravinet</v>
          </cell>
          <cell r="C37" t="str">
            <v>RP</v>
          </cell>
          <cell r="G37" t="str">
            <v>Ravinet</v>
          </cell>
          <cell r="H37" t="str">
            <v>Jean-Yves</v>
          </cell>
          <cell r="I37">
            <v>1957</v>
          </cell>
          <cell r="J37" t="str">
            <v>Latin America Region Head</v>
          </cell>
          <cell r="K37" t="str">
            <v>Crop Protection</v>
          </cell>
          <cell r="L37" t="str">
            <v>Region</v>
          </cell>
          <cell r="M37" t="str">
            <v>Latin America</v>
          </cell>
          <cell r="N37" t="str">
            <v>Stranges I.</v>
          </cell>
          <cell r="O37">
            <v>0</v>
          </cell>
          <cell r="P37">
            <v>3</v>
          </cell>
          <cell r="Q37">
            <v>1960</v>
          </cell>
          <cell r="R37" t="str">
            <v>Expat</v>
          </cell>
          <cell r="S37" t="str">
            <v>France</v>
          </cell>
          <cell r="T37" t="str">
            <v>Brazil</v>
          </cell>
        </row>
        <row r="38">
          <cell r="B38" t="str">
            <v xml:space="preserve">Regent </v>
          </cell>
          <cell r="C38" t="str">
            <v>RP</v>
          </cell>
          <cell r="G38" t="str">
            <v xml:space="preserve">Regent </v>
          </cell>
          <cell r="H38" t="str">
            <v>Alain</v>
          </cell>
          <cell r="I38">
            <v>1942</v>
          </cell>
          <cell r="J38" t="str">
            <v>Business Process Manager</v>
          </cell>
          <cell r="K38" t="str">
            <v>SCM</v>
          </cell>
          <cell r="L38" t="str">
            <v>Supply Chain</v>
          </cell>
          <cell r="M38">
            <v>0</v>
          </cell>
          <cell r="N38" t="str">
            <v>Mc Manus</v>
          </cell>
          <cell r="O38">
            <v>0</v>
          </cell>
          <cell r="P38">
            <v>3</v>
          </cell>
          <cell r="Q38">
            <v>1418</v>
          </cell>
          <cell r="R38" t="str">
            <v>Local</v>
          </cell>
          <cell r="S38" t="str">
            <v>France</v>
          </cell>
        </row>
        <row r="39">
          <cell r="B39" t="str">
            <v xml:space="preserve">Rojas </v>
          </cell>
          <cell r="C39" t="str">
            <v>RP</v>
          </cell>
          <cell r="G39" t="str">
            <v xml:space="preserve">Rojas </v>
          </cell>
          <cell r="H39" t="str">
            <v>Cesar</v>
          </cell>
          <cell r="I39">
            <v>1955</v>
          </cell>
          <cell r="J39" t="str">
            <v>Country Manager Brazil</v>
          </cell>
          <cell r="K39" t="str">
            <v>Crop Protection</v>
          </cell>
          <cell r="L39" t="str">
            <v>Country Manager</v>
          </cell>
          <cell r="M39" t="str">
            <v>Latin America</v>
          </cell>
          <cell r="N39" t="str">
            <v>Ravinet J.Y.</v>
          </cell>
          <cell r="O39">
            <v>0</v>
          </cell>
          <cell r="P39" t="str">
            <v>4B</v>
          </cell>
          <cell r="Q39">
            <v>1708</v>
          </cell>
          <cell r="R39" t="str">
            <v>Expat</v>
          </cell>
          <cell r="S39" t="str">
            <v>Peru</v>
          </cell>
          <cell r="T39" t="str">
            <v>Brazil</v>
          </cell>
        </row>
        <row r="40">
          <cell r="B40" t="str">
            <v xml:space="preserve">Röttele </v>
          </cell>
          <cell r="C40" t="str">
            <v>AgrEvo</v>
          </cell>
          <cell r="G40" t="str">
            <v xml:space="preserve">Röttele </v>
          </cell>
          <cell r="H40" t="str">
            <v>Manfred</v>
          </cell>
          <cell r="I40">
            <v>1952</v>
          </cell>
          <cell r="J40" t="str">
            <v>Business Intelligence</v>
          </cell>
          <cell r="K40" t="str">
            <v>CPPM</v>
          </cell>
          <cell r="L40" t="str">
            <v>Mktg &amp; Bus. Dev.</v>
          </cell>
          <cell r="M40" t="str">
            <v>CPPM</v>
          </cell>
          <cell r="N40" t="str">
            <v>Zirakparvar E.</v>
          </cell>
          <cell r="O40">
            <v>0</v>
          </cell>
          <cell r="P40" t="str">
            <v>B</v>
          </cell>
          <cell r="Q40">
            <v>1182</v>
          </cell>
          <cell r="R40" t="str">
            <v>Transferred</v>
          </cell>
          <cell r="S40" t="str">
            <v>Germany</v>
          </cell>
          <cell r="T40" t="str">
            <v>France</v>
          </cell>
        </row>
        <row r="41">
          <cell r="B41" t="str">
            <v xml:space="preserve">Santini </v>
          </cell>
          <cell r="C41" t="str">
            <v>RP</v>
          </cell>
          <cell r="G41" t="str">
            <v xml:space="preserve">Santini </v>
          </cell>
          <cell r="H41" t="str">
            <v>Georges</v>
          </cell>
          <cell r="I41">
            <v>1948</v>
          </cell>
          <cell r="J41" t="str">
            <v>Communication</v>
          </cell>
          <cell r="K41" t="str">
            <v>HRC</v>
          </cell>
          <cell r="L41" t="str">
            <v>Communication</v>
          </cell>
          <cell r="M41">
            <v>0</v>
          </cell>
          <cell r="N41" t="str">
            <v>Timner H.J.</v>
          </cell>
          <cell r="O41">
            <v>0</v>
          </cell>
          <cell r="P41" t="str">
            <v>4A</v>
          </cell>
          <cell r="Q41">
            <v>1560</v>
          </cell>
          <cell r="R41" t="str">
            <v>Local</v>
          </cell>
          <cell r="S41" t="str">
            <v>France</v>
          </cell>
        </row>
        <row r="42">
          <cell r="B42" t="str">
            <v>Schlichting</v>
          </cell>
          <cell r="C42" t="str">
            <v>AgrEvo</v>
          </cell>
          <cell r="G42" t="str">
            <v>Schlichting</v>
          </cell>
          <cell r="H42" t="str">
            <v>Karl-Peter</v>
          </cell>
          <cell r="I42">
            <v>1949</v>
          </cell>
          <cell r="J42" t="str">
            <v>Asia Pacific Region Head</v>
          </cell>
          <cell r="K42" t="str">
            <v>Crop Protection</v>
          </cell>
          <cell r="L42" t="str">
            <v>Region</v>
          </cell>
          <cell r="M42" t="str">
            <v>Asia Pacific</v>
          </cell>
          <cell r="N42" t="str">
            <v>Stranges I.</v>
          </cell>
          <cell r="O42">
            <v>0</v>
          </cell>
          <cell r="P42" t="str">
            <v>A</v>
          </cell>
          <cell r="Q42">
            <v>1960</v>
          </cell>
          <cell r="R42" t="str">
            <v>Expat</v>
          </cell>
          <cell r="S42" t="str">
            <v>Germany</v>
          </cell>
          <cell r="T42" t="str">
            <v>Japan</v>
          </cell>
        </row>
        <row r="43">
          <cell r="B43" t="str">
            <v>Schlichting</v>
          </cell>
          <cell r="C43">
            <v>0</v>
          </cell>
          <cell r="G43" t="str">
            <v>Schlichting</v>
          </cell>
        </row>
        <row r="44">
          <cell r="B44" t="str">
            <v>Schweers</v>
          </cell>
          <cell r="C44" t="str">
            <v>RP</v>
          </cell>
          <cell r="G44" t="str">
            <v>Schweers</v>
          </cell>
          <cell r="H44" t="str">
            <v>Hugo</v>
          </cell>
          <cell r="I44">
            <v>1957</v>
          </cell>
          <cell r="J44" t="str">
            <v>Country Manager Germany</v>
          </cell>
          <cell r="K44" t="str">
            <v>Crop Protection</v>
          </cell>
          <cell r="L44" t="str">
            <v>Country Manager</v>
          </cell>
          <cell r="M44" t="str">
            <v>Europe</v>
          </cell>
          <cell r="N44" t="str">
            <v>Von Olfers H.</v>
          </cell>
          <cell r="O44">
            <v>0</v>
          </cell>
          <cell r="P44">
            <v>3</v>
          </cell>
          <cell r="Q44">
            <v>1708</v>
          </cell>
          <cell r="R44" t="str">
            <v>Local</v>
          </cell>
          <cell r="S44" t="str">
            <v>Germany</v>
          </cell>
        </row>
        <row r="45">
          <cell r="B45" t="str">
            <v>Sharek</v>
          </cell>
          <cell r="C45" t="str">
            <v>RP</v>
          </cell>
          <cell r="G45" t="str">
            <v>Sharek</v>
          </cell>
          <cell r="H45" t="str">
            <v>Nabil</v>
          </cell>
          <cell r="I45">
            <v>1942</v>
          </cell>
          <cell r="J45" t="str">
            <v>Regulatory / Product Stewardship</v>
          </cell>
          <cell r="K45" t="str">
            <v>CPPM</v>
          </cell>
          <cell r="L45" t="str">
            <v>Regulatory Affairs</v>
          </cell>
          <cell r="M45" t="str">
            <v>CPPM</v>
          </cell>
          <cell r="N45" t="str">
            <v>Zirakparvar E.</v>
          </cell>
          <cell r="O45">
            <v>1358</v>
          </cell>
          <cell r="P45" t="str">
            <v>4A</v>
          </cell>
          <cell r="Q45">
            <v>1560</v>
          </cell>
          <cell r="R45" t="str">
            <v>Seconded</v>
          </cell>
          <cell r="S45" t="str">
            <v>USA</v>
          </cell>
          <cell r="T45" t="str">
            <v>France</v>
          </cell>
        </row>
        <row r="46">
          <cell r="B46" t="str">
            <v>Sjut</v>
          </cell>
          <cell r="C46" t="str">
            <v>AgrEvo</v>
          </cell>
          <cell r="G46" t="str">
            <v>Sjut</v>
          </cell>
          <cell r="H46" t="str">
            <v>Volker</v>
          </cell>
          <cell r="I46">
            <v>1949</v>
          </cell>
          <cell r="J46" t="str">
            <v>HR Strategy/System</v>
          </cell>
          <cell r="K46" t="str">
            <v>HRC</v>
          </cell>
          <cell r="L46" t="str">
            <v>HR</v>
          </cell>
          <cell r="M46">
            <v>0</v>
          </cell>
          <cell r="N46" t="str">
            <v>Timner H.J.</v>
          </cell>
          <cell r="O46">
            <v>0</v>
          </cell>
          <cell r="P46" t="str">
            <v>A</v>
          </cell>
          <cell r="Q46">
            <v>0</v>
          </cell>
          <cell r="R46" t="str">
            <v>Transferred</v>
          </cell>
          <cell r="S46" t="str">
            <v>Germany</v>
          </cell>
          <cell r="T46" t="str">
            <v>France</v>
          </cell>
        </row>
        <row r="47">
          <cell r="B47" t="str">
            <v xml:space="preserve">Takizawa </v>
          </cell>
          <cell r="C47" t="str">
            <v>RP</v>
          </cell>
          <cell r="G47" t="str">
            <v xml:space="preserve">Takizawa </v>
          </cell>
          <cell r="H47" t="str">
            <v>Dominique</v>
          </cell>
          <cell r="I47" t="str">
            <v>1955 ?</v>
          </cell>
          <cell r="J47" t="str">
            <v>Corporate Controlling</v>
          </cell>
          <cell r="K47" t="str">
            <v>CFO</v>
          </cell>
          <cell r="L47" t="str">
            <v>Finance</v>
          </cell>
          <cell r="M47">
            <v>0</v>
          </cell>
          <cell r="N47" t="str">
            <v>Lac J.P.</v>
          </cell>
          <cell r="O47">
            <v>0</v>
          </cell>
          <cell r="P47">
            <v>3</v>
          </cell>
          <cell r="Q47">
            <v>1788</v>
          </cell>
          <cell r="R47" t="str">
            <v>Local</v>
          </cell>
          <cell r="S47" t="str">
            <v>France</v>
          </cell>
        </row>
        <row r="48">
          <cell r="B48" t="str">
            <v>Thomas</v>
          </cell>
          <cell r="C48" t="str">
            <v>AgrEvo</v>
          </cell>
          <cell r="G48" t="str">
            <v>Thomas</v>
          </cell>
          <cell r="H48" t="str">
            <v>Barry</v>
          </cell>
          <cell r="I48">
            <v>1942</v>
          </cell>
          <cell r="J48" t="str">
            <v>Technology Acceptance</v>
          </cell>
          <cell r="K48" t="str">
            <v>Seeds / Crop Improvement</v>
          </cell>
          <cell r="L48">
            <v>0</v>
          </cell>
          <cell r="M48">
            <v>0</v>
          </cell>
          <cell r="N48">
            <v>0</v>
          </cell>
          <cell r="O48">
            <v>0</v>
          </cell>
          <cell r="P48" t="str">
            <v>A</v>
          </cell>
          <cell r="Q48">
            <v>1560</v>
          </cell>
          <cell r="R48" t="str">
            <v>Local</v>
          </cell>
          <cell r="S48" t="str">
            <v>UK</v>
          </cell>
        </row>
        <row r="49">
          <cell r="B49" t="str">
            <v xml:space="preserve">Thomas </v>
          </cell>
          <cell r="C49" t="str">
            <v>RP</v>
          </cell>
          <cell r="G49" t="str">
            <v xml:space="preserve">Thomas </v>
          </cell>
          <cell r="H49" t="str">
            <v>Olivier</v>
          </cell>
          <cell r="I49">
            <v>1954</v>
          </cell>
          <cell r="J49" t="str">
            <v>PGR &amp; Seeds Treatment</v>
          </cell>
          <cell r="K49" t="str">
            <v>CPPM</v>
          </cell>
          <cell r="L49" t="str">
            <v>Mktg &amp; Bus. Dev.</v>
          </cell>
          <cell r="M49" t="str">
            <v>CPPM</v>
          </cell>
          <cell r="N49" t="str">
            <v>Zirakparvar E.</v>
          </cell>
          <cell r="O49">
            <v>0</v>
          </cell>
          <cell r="P49" t="str">
            <v>4A</v>
          </cell>
          <cell r="Q49">
            <v>1232</v>
          </cell>
          <cell r="R49" t="str">
            <v>Local</v>
          </cell>
          <cell r="S49" t="str">
            <v>France</v>
          </cell>
        </row>
        <row r="50">
          <cell r="B50" t="str">
            <v>Touret</v>
          </cell>
          <cell r="C50" t="str">
            <v>RP</v>
          </cell>
          <cell r="G50" t="str">
            <v>Touret</v>
          </cell>
          <cell r="H50" t="str">
            <v>Harry</v>
          </cell>
          <cell r="I50">
            <v>1955</v>
          </cell>
          <cell r="J50" t="str">
            <v>HR France</v>
          </cell>
          <cell r="K50" t="str">
            <v>HRC</v>
          </cell>
          <cell r="L50" t="str">
            <v>HR</v>
          </cell>
          <cell r="M50">
            <v>0</v>
          </cell>
          <cell r="N50" t="str">
            <v>Timner H.J.</v>
          </cell>
          <cell r="O50">
            <v>0</v>
          </cell>
          <cell r="P50" t="str">
            <v>4B</v>
          </cell>
          <cell r="Q50" t="str">
            <v>Not quoted</v>
          </cell>
          <cell r="R50" t="str">
            <v>Local</v>
          </cell>
          <cell r="S50" t="str">
            <v>France</v>
          </cell>
        </row>
        <row r="51">
          <cell r="B51" t="str">
            <v>Unsworth</v>
          </cell>
          <cell r="C51" t="str">
            <v>RP</v>
          </cell>
          <cell r="G51" t="str">
            <v>Unsworth</v>
          </cell>
          <cell r="H51" t="str">
            <v>John</v>
          </cell>
          <cell r="I51">
            <v>1947</v>
          </cell>
          <cell r="J51" t="str">
            <v>Manager R+D France &amp; USA</v>
          </cell>
          <cell r="K51" t="str">
            <v>CTO</v>
          </cell>
          <cell r="L51" t="str">
            <v>R&amp;D</v>
          </cell>
          <cell r="M51" t="str">
            <v>France &amp; USA</v>
          </cell>
          <cell r="N51" t="str">
            <v>Asshauer J.</v>
          </cell>
          <cell r="O51">
            <v>0</v>
          </cell>
          <cell r="P51" t="str">
            <v>4A</v>
          </cell>
          <cell r="Q51">
            <v>1936</v>
          </cell>
          <cell r="R51" t="str">
            <v>Seconded</v>
          </cell>
          <cell r="S51" t="str">
            <v>UK</v>
          </cell>
          <cell r="T51" t="str">
            <v>France</v>
          </cell>
        </row>
        <row r="52">
          <cell r="B52" t="str">
            <v>von Olfers</v>
          </cell>
          <cell r="C52" t="str">
            <v>AgrEvo</v>
          </cell>
          <cell r="G52" t="str">
            <v>von Olfers</v>
          </cell>
          <cell r="H52" t="str">
            <v>K.P.</v>
          </cell>
          <cell r="I52">
            <v>1946</v>
          </cell>
          <cell r="J52" t="str">
            <v>Europe Region Head</v>
          </cell>
          <cell r="K52" t="str">
            <v>Crop Protection</v>
          </cell>
          <cell r="L52" t="str">
            <v>Region</v>
          </cell>
          <cell r="M52" t="str">
            <v>Europe</v>
          </cell>
          <cell r="N52" t="str">
            <v>Stranges I.</v>
          </cell>
          <cell r="O52">
            <v>0</v>
          </cell>
          <cell r="P52" t="str">
            <v>A</v>
          </cell>
          <cell r="Q52">
            <v>2128</v>
          </cell>
          <cell r="R52" t="str">
            <v>Local</v>
          </cell>
          <cell r="S52" t="str">
            <v>Germany</v>
          </cell>
        </row>
        <row r="53">
          <cell r="B53" t="str">
            <v>von Stillfried</v>
          </cell>
          <cell r="C53" t="str">
            <v>AgrEvo</v>
          </cell>
          <cell r="G53" t="str">
            <v>von Stillfried</v>
          </cell>
          <cell r="H53" t="str">
            <v>Heinrich</v>
          </cell>
          <cell r="I53">
            <v>1947</v>
          </cell>
          <cell r="J53" t="str">
            <v>Region International</v>
          </cell>
          <cell r="K53" t="str">
            <v>Crop Protection</v>
          </cell>
          <cell r="L53" t="str">
            <v>Region</v>
          </cell>
          <cell r="M53" t="str">
            <v>International</v>
          </cell>
          <cell r="N53" t="str">
            <v>Stranges I.</v>
          </cell>
          <cell r="O53">
            <v>0</v>
          </cell>
          <cell r="P53" t="str">
            <v>A</v>
          </cell>
          <cell r="Q53">
            <v>1708</v>
          </cell>
          <cell r="R53" t="str">
            <v>Local</v>
          </cell>
          <cell r="S53" t="str">
            <v>Germany</v>
          </cell>
        </row>
        <row r="54">
          <cell r="B54" t="str">
            <v>Welter</v>
          </cell>
          <cell r="C54" t="str">
            <v>AgrEvo</v>
          </cell>
          <cell r="G54" t="str">
            <v>Welter</v>
          </cell>
          <cell r="H54" t="str">
            <v>Wolfgang</v>
          </cell>
          <cell r="I54">
            <v>1948</v>
          </cell>
          <cell r="J54" t="str">
            <v>Manager Operations Strategy + Strategic  Sourcing</v>
          </cell>
          <cell r="K54" t="str">
            <v>SCM</v>
          </cell>
          <cell r="L54" t="str">
            <v>Supply Chain</v>
          </cell>
          <cell r="M54">
            <v>0</v>
          </cell>
          <cell r="N54" t="str">
            <v>Mc Manus</v>
          </cell>
          <cell r="O54">
            <v>0</v>
          </cell>
          <cell r="P54" t="str">
            <v>A</v>
          </cell>
          <cell r="Q54">
            <v>1628</v>
          </cell>
          <cell r="R54" t="str">
            <v>Local</v>
          </cell>
          <cell r="S54" t="str">
            <v>Germany</v>
          </cell>
        </row>
        <row r="55">
          <cell r="B55" t="str">
            <v>Wengenmayer</v>
          </cell>
          <cell r="C55" t="str">
            <v>AgrEvo</v>
          </cell>
          <cell r="G55" t="str">
            <v>Wengenmayer</v>
          </cell>
          <cell r="H55" t="str">
            <v>Friedrich</v>
          </cell>
          <cell r="I55">
            <v>1945</v>
          </cell>
          <cell r="J55" t="str">
            <v>Manager R+D Germany &amp; UK</v>
          </cell>
          <cell r="K55" t="str">
            <v>CTO</v>
          </cell>
          <cell r="L55" t="str">
            <v>R&amp;D</v>
          </cell>
          <cell r="M55">
            <v>0</v>
          </cell>
          <cell r="N55" t="str">
            <v>Asshauer J.</v>
          </cell>
          <cell r="O55">
            <v>0</v>
          </cell>
          <cell r="P55" t="str">
            <v>A</v>
          </cell>
          <cell r="Q55">
            <v>1936</v>
          </cell>
          <cell r="R55" t="str">
            <v>Local</v>
          </cell>
          <cell r="S55" t="str">
            <v>Germany</v>
          </cell>
        </row>
        <row r="56">
          <cell r="B56" t="str">
            <v>Wichtrich</v>
          </cell>
          <cell r="C56" t="str">
            <v>RP</v>
          </cell>
          <cell r="G56" t="str">
            <v>Wichtrich</v>
          </cell>
          <cell r="H56" t="str">
            <v>John</v>
          </cell>
          <cell r="I56">
            <v>1940</v>
          </cell>
          <cell r="J56" t="str">
            <v>Sedagri</v>
          </cell>
          <cell r="K56" t="str">
            <v>Crop Protection</v>
          </cell>
          <cell r="L56" t="str">
            <v>Region</v>
          </cell>
          <cell r="M56" t="str">
            <v>North America</v>
          </cell>
          <cell r="N56" t="str">
            <v>Delage M.</v>
          </cell>
          <cell r="O56">
            <v>2448</v>
          </cell>
          <cell r="P56">
            <v>2</v>
          </cell>
          <cell r="Q56">
            <v>1292</v>
          </cell>
          <cell r="R56" t="str">
            <v>Local</v>
          </cell>
          <cell r="S56" t="str">
            <v>USA</v>
          </cell>
        </row>
        <row r="57">
          <cell r="B57" t="str">
            <v>Yvon</v>
          </cell>
          <cell r="C57" t="str">
            <v>RP</v>
          </cell>
          <cell r="G57" t="str">
            <v>Yvon</v>
          </cell>
          <cell r="H57" t="str">
            <v>J-Claude</v>
          </cell>
          <cell r="I57">
            <v>1941</v>
          </cell>
          <cell r="J57" t="str">
            <v>HR/Executive Management</v>
          </cell>
          <cell r="K57" t="str">
            <v>HRC</v>
          </cell>
          <cell r="L57" t="str">
            <v>HR</v>
          </cell>
          <cell r="M57">
            <v>0</v>
          </cell>
          <cell r="N57" t="str">
            <v>Timner H.J.</v>
          </cell>
          <cell r="O57">
            <v>0</v>
          </cell>
          <cell r="P57">
            <v>3</v>
          </cell>
          <cell r="Q57" t="str">
            <v>1182 ou 1358</v>
          </cell>
          <cell r="R57" t="str">
            <v>Local</v>
          </cell>
          <cell r="S57" t="str">
            <v>France</v>
          </cell>
        </row>
      </sheetData>
      <sheetData sheetId="21" refreshError="1"/>
      <sheetData sheetId="22" refreshError="1"/>
      <sheetData sheetId="23" refreshError="1">
        <row r="5">
          <cell r="C5" t="str">
            <v xml:space="preserve">Aldridge </v>
          </cell>
          <cell r="D5" t="str">
            <v>Ken</v>
          </cell>
          <cell r="E5" t="str">
            <v>GPTL</v>
          </cell>
          <cell r="F5">
            <v>0</v>
          </cell>
          <cell r="G5" t="str">
            <v>COO</v>
          </cell>
          <cell r="H5" t="str">
            <v>CPPM</v>
          </cell>
          <cell r="I5" t="str">
            <v>Expat</v>
          </cell>
          <cell r="J5" t="str">
            <v>USA</v>
          </cell>
          <cell r="K5" t="str">
            <v>France</v>
          </cell>
          <cell r="L5" t="str">
            <v xml:space="preserve">Goetgheluck </v>
          </cell>
          <cell r="M5" t="str">
            <v>Zirakparvar</v>
          </cell>
          <cell r="N5">
            <v>1232</v>
          </cell>
          <cell r="O5" t="str">
            <v>USD</v>
          </cell>
          <cell r="P5" t="str">
            <v>USD</v>
          </cell>
          <cell r="Q5" t="e">
            <v>#REF!</v>
          </cell>
          <cell r="R5">
            <v>128702.08055883934</v>
          </cell>
          <cell r="S5">
            <v>119757.28596000001</v>
          </cell>
          <cell r="T5">
            <v>4</v>
          </cell>
          <cell r="U5">
            <v>35</v>
          </cell>
          <cell r="V5">
            <v>41915.050086000003</v>
          </cell>
          <cell r="W5">
            <v>161672.33604600001</v>
          </cell>
          <cell r="X5">
            <v>173747.80875443312</v>
          </cell>
          <cell r="Y5">
            <v>173747.80875443312</v>
          </cell>
          <cell r="Z5">
            <v>17</v>
          </cell>
          <cell r="AA5">
            <v>3000</v>
          </cell>
        </row>
        <row r="6">
          <cell r="C6" t="str">
            <v xml:space="preserve">Allais </v>
          </cell>
          <cell r="D6" t="str">
            <v>Jean</v>
          </cell>
          <cell r="E6" t="str">
            <v>Deputy CIO, Bus. Application Manager</v>
          </cell>
          <cell r="F6">
            <v>1948</v>
          </cell>
          <cell r="G6" t="str">
            <v>COO</v>
          </cell>
          <cell r="H6" t="str">
            <v>IT</v>
          </cell>
          <cell r="I6" t="str">
            <v>Local</v>
          </cell>
          <cell r="J6" t="str">
            <v>France</v>
          </cell>
          <cell r="K6">
            <v>0</v>
          </cell>
          <cell r="L6" t="str">
            <v>Rashid</v>
          </cell>
          <cell r="M6" t="str">
            <v>Méheut</v>
          </cell>
          <cell r="N6">
            <v>1358</v>
          </cell>
          <cell r="O6" t="str">
            <v>FRF</v>
          </cell>
          <cell r="P6" t="str">
            <v>FRF</v>
          </cell>
          <cell r="Q6" t="e">
            <v>#REF!</v>
          </cell>
          <cell r="R6">
            <v>105647.16894552539</v>
          </cell>
          <cell r="S6">
            <v>693000</v>
          </cell>
          <cell r="T6">
            <v>5</v>
          </cell>
          <cell r="U6">
            <v>35</v>
          </cell>
          <cell r="V6">
            <v>242550</v>
          </cell>
          <cell r="W6">
            <v>935550</v>
          </cell>
          <cell r="X6">
            <v>142623.67807645927</v>
          </cell>
          <cell r="Y6">
            <v>142623.6780764593</v>
          </cell>
          <cell r="Z6">
            <v>18.100000000000001</v>
          </cell>
          <cell r="AA6">
            <v>3000</v>
          </cell>
        </row>
        <row r="7">
          <cell r="C7" t="str">
            <v xml:space="preserve">Amat </v>
          </cell>
          <cell r="D7" t="str">
            <v>Thierry</v>
          </cell>
          <cell r="E7" t="str">
            <v>F&amp;A - COO</v>
          </cell>
          <cell r="F7">
            <v>1960</v>
          </cell>
          <cell r="G7" t="str">
            <v>COO</v>
          </cell>
          <cell r="H7" t="str">
            <v>F&amp;A</v>
          </cell>
          <cell r="I7" t="str">
            <v>Local</v>
          </cell>
          <cell r="J7" t="str">
            <v>France</v>
          </cell>
          <cell r="K7">
            <v>0</v>
          </cell>
          <cell r="L7" t="str">
            <v>Méheut</v>
          </cell>
          <cell r="M7" t="str">
            <v>Godard</v>
          </cell>
          <cell r="N7">
            <v>1788</v>
          </cell>
          <cell r="O7" t="str">
            <v>FRF</v>
          </cell>
          <cell r="P7" t="str">
            <v>FRF</v>
          </cell>
          <cell r="Q7" t="e">
            <v>#REF!</v>
          </cell>
          <cell r="R7">
            <v>114336.76292805778</v>
          </cell>
          <cell r="S7">
            <v>750000</v>
          </cell>
          <cell r="T7">
            <v>11.9</v>
          </cell>
          <cell r="U7">
            <v>40</v>
          </cell>
          <cell r="V7">
            <v>300000</v>
          </cell>
          <cell r="W7">
            <v>1050000</v>
          </cell>
          <cell r="X7">
            <v>160071.4680992809</v>
          </cell>
          <cell r="Y7">
            <v>160071.46809928087</v>
          </cell>
          <cell r="Z7">
            <v>25.4</v>
          </cell>
          <cell r="AA7">
            <v>7000</v>
          </cell>
        </row>
        <row r="8">
          <cell r="C8" t="str">
            <v xml:space="preserve">Arboucalot </v>
          </cell>
          <cell r="D8" t="str">
            <v>Frédéric</v>
          </cell>
          <cell r="E8" t="str">
            <v>GPTL</v>
          </cell>
          <cell r="F8">
            <v>1962</v>
          </cell>
          <cell r="G8" t="str">
            <v>COO</v>
          </cell>
          <cell r="H8" t="str">
            <v>CPPM</v>
          </cell>
          <cell r="I8" t="str">
            <v>Local</v>
          </cell>
          <cell r="J8" t="str">
            <v>France</v>
          </cell>
          <cell r="K8">
            <v>0</v>
          </cell>
          <cell r="L8" t="str">
            <v xml:space="preserve">Goetgheluck </v>
          </cell>
          <cell r="M8" t="str">
            <v>Zirakparvar</v>
          </cell>
          <cell r="N8">
            <v>1232</v>
          </cell>
          <cell r="O8" t="str">
            <v>FRF</v>
          </cell>
          <cell r="P8" t="str">
            <v>FRF</v>
          </cell>
          <cell r="Q8" t="e">
            <v>#REF!</v>
          </cell>
          <cell r="R8">
            <v>78579.525792086992</v>
          </cell>
          <cell r="S8">
            <v>515447.9</v>
          </cell>
          <cell r="T8">
            <v>10</v>
          </cell>
          <cell r="U8">
            <v>35</v>
          </cell>
          <cell r="V8">
            <v>180406.76500000001</v>
          </cell>
          <cell r="W8">
            <v>695854.66500000004</v>
          </cell>
          <cell r="X8">
            <v>106082.35981931743</v>
          </cell>
          <cell r="Y8">
            <v>106082.35981931744</v>
          </cell>
          <cell r="Z8">
            <v>38.5</v>
          </cell>
          <cell r="AA8">
            <v>2000</v>
          </cell>
        </row>
        <row r="9">
          <cell r="C9" t="str">
            <v xml:space="preserve">Arthur </v>
          </cell>
          <cell r="D9" t="str">
            <v>John</v>
          </cell>
          <cell r="E9" t="str">
            <v>Professional Products</v>
          </cell>
          <cell r="F9">
            <v>1951</v>
          </cell>
          <cell r="G9" t="str">
            <v>Envir</v>
          </cell>
          <cell r="H9">
            <v>0</v>
          </cell>
          <cell r="I9" t="str">
            <v>Delegate</v>
          </cell>
          <cell r="J9" t="str">
            <v>UK</v>
          </cell>
          <cell r="K9" t="str">
            <v>Germany</v>
          </cell>
          <cell r="L9" t="str">
            <v>Barella</v>
          </cell>
          <cell r="M9" t="str">
            <v>Housset</v>
          </cell>
          <cell r="N9">
            <v>1232</v>
          </cell>
          <cell r="O9" t="str">
            <v>DEM</v>
          </cell>
          <cell r="P9" t="str">
            <v>DEM</v>
          </cell>
          <cell r="Q9" t="e">
            <v>#REF!</v>
          </cell>
          <cell r="R9">
            <v>109999.84661243565</v>
          </cell>
          <cell r="S9">
            <v>215141</v>
          </cell>
          <cell r="T9">
            <v>39.200000000000003</v>
          </cell>
          <cell r="U9">
            <v>35</v>
          </cell>
          <cell r="V9">
            <v>75299.350000000006</v>
          </cell>
          <cell r="W9">
            <v>290440.34999999998</v>
          </cell>
          <cell r="X9">
            <v>148499.7929267881</v>
          </cell>
          <cell r="Y9">
            <v>148499.79292678813</v>
          </cell>
          <cell r="Z9">
            <v>63.4</v>
          </cell>
          <cell r="AA9">
            <v>2000</v>
          </cell>
        </row>
        <row r="10">
          <cell r="C10" t="str">
            <v>Barella</v>
          </cell>
          <cell r="D10" t="str">
            <v>José</v>
          </cell>
          <cell r="E10" t="str">
            <v>-</v>
          </cell>
          <cell r="F10" t="e">
            <v>#N/A</v>
          </cell>
          <cell r="G10" t="e">
            <v>#N/A</v>
          </cell>
          <cell r="H10">
            <v>0</v>
          </cell>
          <cell r="I10" t="str">
            <v>-</v>
          </cell>
          <cell r="J10" t="e">
            <v>#N/A</v>
          </cell>
          <cell r="K10" t="e">
            <v>#N/A</v>
          </cell>
          <cell r="L10" t="str">
            <v>Housset</v>
          </cell>
          <cell r="M10" t="str">
            <v>Godard</v>
          </cell>
          <cell r="N10">
            <v>1708</v>
          </cell>
          <cell r="O10" t="str">
            <v>BRL</v>
          </cell>
          <cell r="P10" t="str">
            <v>BRL</v>
          </cell>
          <cell r="Q10" t="e">
            <v>#REF!</v>
          </cell>
          <cell r="R10">
            <v>144332.56674014879</v>
          </cell>
          <cell r="S10">
            <v>261891.44235</v>
          </cell>
          <cell r="T10">
            <v>88.179608072083994</v>
          </cell>
          <cell r="U10">
            <v>40</v>
          </cell>
          <cell r="V10">
            <v>104756.57694</v>
          </cell>
          <cell r="W10">
            <v>366648.01928999997</v>
          </cell>
          <cell r="X10">
            <v>202065.59343620829</v>
          </cell>
          <cell r="Y10">
            <v>202065.59343620829</v>
          </cell>
          <cell r="Z10">
            <v>110.8</v>
          </cell>
          <cell r="AA10">
            <v>8000</v>
          </cell>
        </row>
        <row r="11">
          <cell r="C11" t="str">
            <v>Blomer</v>
          </cell>
          <cell r="D11" t="str">
            <v>Rémy</v>
          </cell>
          <cell r="E11" t="str">
            <v>IT</v>
          </cell>
          <cell r="F11">
            <v>1940</v>
          </cell>
          <cell r="G11" t="str">
            <v>COO</v>
          </cell>
          <cell r="H11" t="str">
            <v>IT</v>
          </cell>
          <cell r="I11" t="str">
            <v>Local</v>
          </cell>
          <cell r="J11" t="str">
            <v>Germany</v>
          </cell>
          <cell r="K11">
            <v>0</v>
          </cell>
          <cell r="L11" t="str">
            <v>Rashid</v>
          </cell>
          <cell r="M11" t="str">
            <v>Méheut</v>
          </cell>
          <cell r="N11">
            <v>1936</v>
          </cell>
          <cell r="O11" t="str">
            <v>DEM</v>
          </cell>
          <cell r="P11" t="str">
            <v>DEM</v>
          </cell>
          <cell r="Q11" t="e">
            <v>#REF!</v>
          </cell>
          <cell r="R11">
            <v>133000</v>
          </cell>
          <cell r="S11">
            <v>260125.39</v>
          </cell>
          <cell r="T11">
            <v>4.7</v>
          </cell>
          <cell r="U11">
            <v>40</v>
          </cell>
          <cell r="V11">
            <v>104050.15600000002</v>
          </cell>
          <cell r="W11">
            <v>364175.54600000003</v>
          </cell>
          <cell r="X11">
            <v>186200.00000000003</v>
          </cell>
          <cell r="Y11">
            <v>186200</v>
          </cell>
          <cell r="Z11">
            <v>17.3</v>
          </cell>
          <cell r="AA11">
            <v>3000</v>
          </cell>
        </row>
        <row r="12">
          <cell r="C12" t="str">
            <v xml:space="preserve">Bonnafoux </v>
          </cell>
          <cell r="D12" t="str">
            <v>Henri</v>
          </cell>
          <cell r="E12" t="str">
            <v>Insecticides I</v>
          </cell>
          <cell r="F12">
            <v>1944</v>
          </cell>
          <cell r="G12" t="str">
            <v>COO</v>
          </cell>
          <cell r="H12" t="str">
            <v>CPPM</v>
          </cell>
          <cell r="I12" t="str">
            <v>Local</v>
          </cell>
          <cell r="J12" t="str">
            <v>France</v>
          </cell>
          <cell r="K12">
            <v>0</v>
          </cell>
          <cell r="L12" t="str">
            <v>Zirakparvar</v>
          </cell>
          <cell r="M12" t="str">
            <v>Méheut</v>
          </cell>
          <cell r="N12">
            <v>1628</v>
          </cell>
          <cell r="O12" t="str">
            <v>FRF</v>
          </cell>
          <cell r="P12" t="str">
            <v>FRF</v>
          </cell>
          <cell r="Q12" t="e">
            <v>#REF!</v>
          </cell>
          <cell r="R12">
            <v>122000.00000000001</v>
          </cell>
          <cell r="S12">
            <v>800267.54</v>
          </cell>
          <cell r="T12">
            <v>3.7</v>
          </cell>
          <cell r="U12">
            <v>40</v>
          </cell>
          <cell r="V12">
            <v>320107.016</v>
          </cell>
          <cell r="W12">
            <v>1120374.5560000001</v>
          </cell>
          <cell r="X12">
            <v>170800.00000000003</v>
          </cell>
          <cell r="Y12">
            <v>170800</v>
          </cell>
          <cell r="Z12">
            <v>11.6</v>
          </cell>
          <cell r="AA12">
            <v>4000</v>
          </cell>
        </row>
        <row r="13">
          <cell r="C13" t="str">
            <v xml:space="preserve">Bosio </v>
          </cell>
          <cell r="D13" t="str">
            <v>Bernardino</v>
          </cell>
          <cell r="E13" t="str">
            <v>Country Manager Italy</v>
          </cell>
          <cell r="F13">
            <v>0</v>
          </cell>
          <cell r="G13" t="str">
            <v>COO</v>
          </cell>
          <cell r="H13" t="str">
            <v>France</v>
          </cell>
          <cell r="I13" t="str">
            <v>Local</v>
          </cell>
          <cell r="J13" t="str">
            <v>Italy</v>
          </cell>
          <cell r="K13">
            <v>0</v>
          </cell>
          <cell r="L13" t="str">
            <v>Chalandon</v>
          </cell>
          <cell r="M13" t="str">
            <v>Méheut</v>
          </cell>
          <cell r="N13">
            <v>1486</v>
          </cell>
          <cell r="O13" t="str">
            <v>ITL</v>
          </cell>
          <cell r="P13" t="str">
            <v>ITL</v>
          </cell>
          <cell r="Q13" t="e">
            <v>#REF!</v>
          </cell>
          <cell r="R13">
            <v>125857.46176927804</v>
          </cell>
          <cell r="S13">
            <v>243694027.5</v>
          </cell>
          <cell r="T13">
            <v>10</v>
          </cell>
          <cell r="U13">
            <v>35</v>
          </cell>
          <cell r="V13">
            <v>85292909.625</v>
          </cell>
          <cell r="W13">
            <v>328986937.125</v>
          </cell>
          <cell r="X13">
            <v>169907.57338852537</v>
          </cell>
          <cell r="Y13">
            <v>169907.57338852537</v>
          </cell>
          <cell r="Z13">
            <v>23.8</v>
          </cell>
          <cell r="AA13">
            <v>4000</v>
          </cell>
        </row>
        <row r="14">
          <cell r="C14" t="str">
            <v>Bostian</v>
          </cell>
          <cell r="D14" t="str">
            <v>Arlin</v>
          </cell>
          <cell r="E14" t="str">
            <v>GPTL</v>
          </cell>
          <cell r="F14">
            <v>1953</v>
          </cell>
          <cell r="G14" t="str">
            <v>COO</v>
          </cell>
          <cell r="H14" t="str">
            <v>CPPM</v>
          </cell>
          <cell r="I14" t="str">
            <v>Expat</v>
          </cell>
          <cell r="J14" t="str">
            <v>USA</v>
          </cell>
          <cell r="K14" t="str">
            <v>France</v>
          </cell>
          <cell r="L14" t="str">
            <v>Bonnafoux</v>
          </cell>
          <cell r="M14" t="str">
            <v>Zirakparvar</v>
          </cell>
          <cell r="N14">
            <v>1232</v>
          </cell>
          <cell r="O14" t="str">
            <v>USD</v>
          </cell>
          <cell r="P14" t="str">
            <v>USD</v>
          </cell>
          <cell r="Q14">
            <v>0</v>
          </cell>
          <cell r="R14">
            <v>131687.26491133799</v>
          </cell>
          <cell r="S14">
            <v>122535</v>
          </cell>
          <cell r="T14">
            <v>5</v>
          </cell>
          <cell r="U14">
            <v>35</v>
          </cell>
          <cell r="V14">
            <v>42887.25</v>
          </cell>
          <cell r="W14">
            <v>165422.25</v>
          </cell>
          <cell r="X14">
            <v>177777.80763030628</v>
          </cell>
          <cell r="Y14">
            <v>177777.80763030628</v>
          </cell>
          <cell r="Z14">
            <v>23</v>
          </cell>
          <cell r="AA14">
            <v>3000</v>
          </cell>
        </row>
        <row r="15">
          <cell r="C15" t="str">
            <v xml:space="preserve">Braund </v>
          </cell>
          <cell r="D15" t="str">
            <v>Stephen</v>
          </cell>
          <cell r="E15" t="str">
            <v>Supply Chain ACSI &amp; LC North, w &amp; S Afr</v>
          </cell>
          <cell r="F15">
            <v>0</v>
          </cell>
          <cell r="G15" t="str">
            <v>COO</v>
          </cell>
          <cell r="H15" t="str">
            <v>ACSI</v>
          </cell>
          <cell r="I15" t="str">
            <v>Delegate</v>
          </cell>
          <cell r="J15" t="str">
            <v>UK</v>
          </cell>
          <cell r="K15" t="str">
            <v>Germany</v>
          </cell>
          <cell r="L15" t="str">
            <v>von Olfers</v>
          </cell>
          <cell r="M15" t="str">
            <v>Méheut</v>
          </cell>
          <cell r="N15">
            <v>1418</v>
          </cell>
          <cell r="O15" t="str">
            <v>DEM</v>
          </cell>
          <cell r="P15" t="str">
            <v>DEM</v>
          </cell>
          <cell r="Q15" t="e">
            <v>#REF!</v>
          </cell>
          <cell r="R15">
            <v>110614.93074551469</v>
          </cell>
          <cell r="S15">
            <v>216344</v>
          </cell>
          <cell r="T15">
            <v>3</v>
          </cell>
          <cell r="U15">
            <v>35</v>
          </cell>
          <cell r="V15">
            <v>75720.399999999994</v>
          </cell>
          <cell r="W15">
            <v>292064.40000000002</v>
          </cell>
          <cell r="X15">
            <v>149330.15650644485</v>
          </cell>
          <cell r="Y15">
            <v>149330.15650644485</v>
          </cell>
          <cell r="Z15">
            <v>15.9</v>
          </cell>
          <cell r="AA15">
            <v>2600</v>
          </cell>
        </row>
        <row r="16">
          <cell r="C16" t="str">
            <v xml:space="preserve">Bridon </v>
          </cell>
          <cell r="D16" t="str">
            <v>Jean-Noël</v>
          </cell>
          <cell r="E16" t="str">
            <v>e-business - ACS France</v>
          </cell>
          <cell r="F16">
            <v>1949</v>
          </cell>
          <cell r="G16" t="str">
            <v>COO</v>
          </cell>
          <cell r="H16" t="str">
            <v>France</v>
          </cell>
          <cell r="I16" t="str">
            <v>Local</v>
          </cell>
          <cell r="J16" t="str">
            <v>France</v>
          </cell>
          <cell r="K16">
            <v>0</v>
          </cell>
          <cell r="L16" t="str">
            <v>Chalandon</v>
          </cell>
          <cell r="M16" t="str">
            <v>Méheut</v>
          </cell>
          <cell r="N16">
            <v>1628</v>
          </cell>
          <cell r="O16" t="str">
            <v>FRF</v>
          </cell>
          <cell r="P16" t="str">
            <v>FRF</v>
          </cell>
          <cell r="Q16" t="e">
            <v>#REF!</v>
          </cell>
          <cell r="R16">
            <v>105000</v>
          </cell>
          <cell r="S16">
            <v>688754.85</v>
          </cell>
          <cell r="T16">
            <v>14.6</v>
          </cell>
          <cell r="U16">
            <v>40</v>
          </cell>
          <cell r="V16">
            <v>275501.94</v>
          </cell>
          <cell r="W16">
            <v>964256.79</v>
          </cell>
          <cell r="X16">
            <v>147000</v>
          </cell>
          <cell r="Y16">
            <v>147000</v>
          </cell>
          <cell r="Z16">
            <v>33.700000000000003</v>
          </cell>
          <cell r="AA16">
            <v>4000</v>
          </cell>
        </row>
        <row r="17">
          <cell r="C17" t="str">
            <v xml:space="preserve">Broué </v>
          </cell>
          <cell r="D17" t="str">
            <v>Jean</v>
          </cell>
          <cell r="E17" t="str">
            <v>Country Manager China</v>
          </cell>
          <cell r="F17">
            <v>1962</v>
          </cell>
          <cell r="G17" t="str">
            <v>COO</v>
          </cell>
          <cell r="H17" t="str">
            <v>China</v>
          </cell>
          <cell r="I17" t="str">
            <v>Expat</v>
          </cell>
          <cell r="J17" t="str">
            <v>France</v>
          </cell>
          <cell r="K17" t="str">
            <v>China</v>
          </cell>
          <cell r="L17" t="str">
            <v>Méheut</v>
          </cell>
          <cell r="M17" t="str">
            <v>Godard</v>
          </cell>
          <cell r="N17">
            <v>1486</v>
          </cell>
          <cell r="O17" t="str">
            <v>FRF</v>
          </cell>
          <cell r="P17" t="str">
            <v>FRF</v>
          </cell>
          <cell r="Q17" t="e">
            <v>#REF!</v>
          </cell>
          <cell r="R17">
            <v>105189.82189381316</v>
          </cell>
          <cell r="S17">
            <v>690000</v>
          </cell>
          <cell r="T17">
            <v>21.1</v>
          </cell>
          <cell r="U17">
            <v>35</v>
          </cell>
          <cell r="V17">
            <v>241500</v>
          </cell>
          <cell r="W17">
            <v>931500</v>
          </cell>
          <cell r="X17">
            <v>142006.25955664777</v>
          </cell>
          <cell r="Y17">
            <v>142006.25955664777</v>
          </cell>
          <cell r="Z17">
            <v>36.200000000000003</v>
          </cell>
          <cell r="AA17">
            <v>4000</v>
          </cell>
        </row>
        <row r="18">
          <cell r="C18" t="str">
            <v xml:space="preserve">Carmichael </v>
          </cell>
          <cell r="D18" t="str">
            <v>Neil</v>
          </cell>
          <cell r="E18" t="str">
            <v>Head of Global Toxicology</v>
          </cell>
          <cell r="F18">
            <v>1951</v>
          </cell>
          <cell r="G18" t="str">
            <v>COO</v>
          </cell>
          <cell r="H18" t="str">
            <v>Innovation</v>
          </cell>
          <cell r="I18" t="str">
            <v>Local</v>
          </cell>
          <cell r="J18" t="str">
            <v>France</v>
          </cell>
          <cell r="K18">
            <v>0</v>
          </cell>
          <cell r="L18" t="str">
            <v>Dorn</v>
          </cell>
          <cell r="M18" t="str">
            <v>Leroux</v>
          </cell>
          <cell r="N18">
            <v>1358</v>
          </cell>
          <cell r="O18" t="str">
            <v>FRF</v>
          </cell>
          <cell r="P18" t="str">
            <v>FRF</v>
          </cell>
          <cell r="Q18" t="e">
            <v>#REF!</v>
          </cell>
          <cell r="R18">
            <v>110699.02447873871</v>
          </cell>
          <cell r="S18">
            <v>726138</v>
          </cell>
          <cell r="T18">
            <v>5</v>
          </cell>
          <cell r="U18">
            <v>35</v>
          </cell>
          <cell r="V18">
            <v>254148.3</v>
          </cell>
          <cell r="W18">
            <v>980286.3</v>
          </cell>
          <cell r="X18">
            <v>149443.68304629726</v>
          </cell>
          <cell r="Y18">
            <v>149443.68304629726</v>
          </cell>
          <cell r="Z18">
            <v>13.4</v>
          </cell>
          <cell r="AA18">
            <v>2600</v>
          </cell>
        </row>
        <row r="19">
          <cell r="C19" t="str">
            <v>Caruhel</v>
          </cell>
          <cell r="D19" t="str">
            <v>Pascal</v>
          </cell>
          <cell r="E19" t="str">
            <v>Indication leader Insecticides Ffm</v>
          </cell>
          <cell r="F19">
            <v>1955</v>
          </cell>
          <cell r="G19" t="str">
            <v>COO</v>
          </cell>
          <cell r="H19" t="str">
            <v>Innovation</v>
          </cell>
          <cell r="I19" t="str">
            <v>Expat</v>
          </cell>
          <cell r="J19" t="str">
            <v>France</v>
          </cell>
          <cell r="K19" t="str">
            <v>Germany</v>
          </cell>
          <cell r="L19" t="str">
            <v>Greiner</v>
          </cell>
          <cell r="M19" t="str">
            <v>Leroux</v>
          </cell>
          <cell r="N19">
            <v>1358</v>
          </cell>
          <cell r="O19" t="str">
            <v>FRF</v>
          </cell>
          <cell r="P19" t="str">
            <v>FRF</v>
          </cell>
          <cell r="Q19" t="e">
            <v>#REF!</v>
          </cell>
          <cell r="R19">
            <v>71102.221639528201</v>
          </cell>
          <cell r="S19">
            <v>466400</v>
          </cell>
          <cell r="T19">
            <v>10</v>
          </cell>
          <cell r="U19">
            <v>35</v>
          </cell>
          <cell r="V19">
            <v>163240</v>
          </cell>
          <cell r="W19">
            <v>629640</v>
          </cell>
          <cell r="X19">
            <v>95987.999213363073</v>
          </cell>
          <cell r="Y19">
            <v>95987.999213363073</v>
          </cell>
          <cell r="Z19">
            <v>29.1</v>
          </cell>
          <cell r="AA19">
            <v>2600</v>
          </cell>
        </row>
        <row r="20">
          <cell r="C20" t="str">
            <v>Chalandon</v>
          </cell>
          <cell r="D20" t="str">
            <v>Alain</v>
          </cell>
          <cell r="E20" t="str">
            <v>Country Manager France</v>
          </cell>
          <cell r="F20">
            <v>1949</v>
          </cell>
          <cell r="G20" t="str">
            <v>COO</v>
          </cell>
          <cell r="H20" t="str">
            <v>France</v>
          </cell>
          <cell r="I20" t="str">
            <v>Local</v>
          </cell>
          <cell r="J20" t="str">
            <v>France</v>
          </cell>
          <cell r="K20">
            <v>0</v>
          </cell>
          <cell r="L20" t="str">
            <v>Méheut</v>
          </cell>
          <cell r="M20" t="str">
            <v>Godard</v>
          </cell>
          <cell r="N20">
            <v>2128</v>
          </cell>
          <cell r="O20" t="str">
            <v>FRF</v>
          </cell>
          <cell r="P20" t="str">
            <v>FRF</v>
          </cell>
          <cell r="Q20" t="e">
            <v>#REF!</v>
          </cell>
          <cell r="R20">
            <v>167693.91896115142</v>
          </cell>
          <cell r="S20">
            <v>1100000</v>
          </cell>
          <cell r="T20">
            <v>15.8</v>
          </cell>
          <cell r="U20">
            <v>50</v>
          </cell>
          <cell r="V20">
            <v>550000</v>
          </cell>
          <cell r="W20">
            <v>1650000</v>
          </cell>
          <cell r="X20">
            <v>251540.87844172714</v>
          </cell>
          <cell r="Y20">
            <v>251540.87844172714</v>
          </cell>
          <cell r="Z20">
            <v>33.6</v>
          </cell>
          <cell r="AA20">
            <v>12000</v>
          </cell>
        </row>
        <row r="21">
          <cell r="C21" t="str">
            <v xml:space="preserve">Chenet </v>
          </cell>
          <cell r="D21" t="str">
            <v>Thierry</v>
          </cell>
          <cell r="E21" t="str">
            <v>GPTL</v>
          </cell>
          <cell r="F21">
            <v>1962</v>
          </cell>
          <cell r="G21" t="str">
            <v>COO</v>
          </cell>
          <cell r="H21" t="str">
            <v>CPPM</v>
          </cell>
          <cell r="I21" t="str">
            <v>Local</v>
          </cell>
          <cell r="J21" t="str">
            <v>France</v>
          </cell>
          <cell r="K21">
            <v>0</v>
          </cell>
          <cell r="L21" t="str">
            <v>Howard</v>
          </cell>
          <cell r="M21" t="str">
            <v>Zirakparvar</v>
          </cell>
          <cell r="N21">
            <v>1232</v>
          </cell>
          <cell r="O21" t="str">
            <v>FRF</v>
          </cell>
          <cell r="P21" t="str">
            <v>FRF</v>
          </cell>
          <cell r="Q21" t="e">
            <v>#REF!</v>
          </cell>
          <cell r="R21">
            <v>76393.582201272337</v>
          </cell>
          <cell r="S21">
            <v>501109.05</v>
          </cell>
          <cell r="T21">
            <v>15</v>
          </cell>
          <cell r="U21">
            <v>35</v>
          </cell>
          <cell r="V21">
            <v>175388.16750000001</v>
          </cell>
          <cell r="W21">
            <v>676497.21750000003</v>
          </cell>
          <cell r="X21">
            <v>103131.33597171766</v>
          </cell>
          <cell r="Y21">
            <v>103131.33597171766</v>
          </cell>
          <cell r="Z21">
            <v>35</v>
          </cell>
          <cell r="AA21">
            <v>2000</v>
          </cell>
        </row>
        <row r="22">
          <cell r="C22" t="str">
            <v xml:space="preserve">Clarke </v>
          </cell>
          <cell r="D22" t="str">
            <v>Christopher</v>
          </cell>
          <cell r="E22" t="str">
            <v>Projects &amp; Business Intelligence</v>
          </cell>
          <cell r="F22">
            <v>1946</v>
          </cell>
          <cell r="G22" t="str">
            <v>COO</v>
          </cell>
          <cell r="H22" t="str">
            <v>CPPM</v>
          </cell>
          <cell r="I22" t="str">
            <v>Local</v>
          </cell>
          <cell r="J22" t="str">
            <v>France</v>
          </cell>
          <cell r="K22">
            <v>0</v>
          </cell>
          <cell r="L22" t="str">
            <v>Zirakparvar</v>
          </cell>
          <cell r="M22" t="str">
            <v>Méheut</v>
          </cell>
          <cell r="N22">
            <v>1628</v>
          </cell>
          <cell r="O22" t="str">
            <v>FRF</v>
          </cell>
          <cell r="P22" t="str">
            <v>FRF</v>
          </cell>
          <cell r="Q22" t="e">
            <v>#REF!</v>
          </cell>
          <cell r="R22">
            <v>115708.80408319448</v>
          </cell>
          <cell r="S22">
            <v>759000</v>
          </cell>
          <cell r="T22">
            <v>10</v>
          </cell>
          <cell r="U22">
            <v>40</v>
          </cell>
          <cell r="V22">
            <v>303600</v>
          </cell>
          <cell r="W22">
            <v>1062600</v>
          </cell>
          <cell r="X22">
            <v>161992.32571647226</v>
          </cell>
          <cell r="Y22">
            <v>161992.32571647226</v>
          </cell>
          <cell r="Z22">
            <v>28.3</v>
          </cell>
          <cell r="AA22">
            <v>4000</v>
          </cell>
        </row>
        <row r="23">
          <cell r="C23" t="str">
            <v>Convent</v>
          </cell>
          <cell r="D23" t="str">
            <v>Bernardino</v>
          </cell>
          <cell r="E23" t="str">
            <v>Manager Global R+D Crop Improvement</v>
          </cell>
          <cell r="F23">
            <v>1945</v>
          </cell>
          <cell r="G23" t="str">
            <v>Biotech</v>
          </cell>
          <cell r="H23">
            <v>0</v>
          </cell>
          <cell r="I23" t="str">
            <v>Local</v>
          </cell>
          <cell r="J23" t="str">
            <v>Belgium</v>
          </cell>
          <cell r="K23">
            <v>0</v>
          </cell>
          <cell r="L23" t="str">
            <v>Morgan</v>
          </cell>
          <cell r="M23" t="str">
            <v>Godard</v>
          </cell>
          <cell r="N23">
            <v>1628</v>
          </cell>
          <cell r="O23" t="str">
            <v>FRF</v>
          </cell>
          <cell r="P23" t="str">
            <v>BEF</v>
          </cell>
          <cell r="Q23" t="e">
            <v>#REF!</v>
          </cell>
          <cell r="R23">
            <v>170431.97925626984</v>
          </cell>
          <cell r="S23">
            <v>6875209</v>
          </cell>
          <cell r="T23">
            <v>2</v>
          </cell>
          <cell r="U23">
            <v>40</v>
          </cell>
          <cell r="V23">
            <v>2750083.6</v>
          </cell>
          <cell r="W23">
            <v>9625292.5999999996</v>
          </cell>
          <cell r="X23">
            <v>238604.77095877778</v>
          </cell>
          <cell r="Y23">
            <v>238604.77095877775</v>
          </cell>
          <cell r="Z23">
            <v>25.3</v>
          </cell>
          <cell r="AA23">
            <v>5000</v>
          </cell>
        </row>
        <row r="24">
          <cell r="C24" t="str">
            <v>de Bruin</v>
          </cell>
          <cell r="D24" t="str">
            <v>Evert Jan</v>
          </cell>
          <cell r="E24" t="str">
            <v>Country Manager Benelux</v>
          </cell>
          <cell r="F24">
            <v>1945</v>
          </cell>
          <cell r="G24" t="str">
            <v>COO</v>
          </cell>
          <cell r="H24" t="str">
            <v>UK</v>
          </cell>
          <cell r="I24" t="str">
            <v>Local</v>
          </cell>
          <cell r="J24" t="str">
            <v>Netherlands</v>
          </cell>
          <cell r="K24">
            <v>0</v>
          </cell>
          <cell r="L24" t="str">
            <v>Drinkwater</v>
          </cell>
          <cell r="M24" t="str">
            <v>Méheut</v>
          </cell>
          <cell r="N24">
            <v>1486</v>
          </cell>
          <cell r="O24" t="str">
            <v>NLG</v>
          </cell>
          <cell r="P24" t="str">
            <v>NLG</v>
          </cell>
          <cell r="Q24" t="e">
            <v>#REF!</v>
          </cell>
          <cell r="R24">
            <v>151956.49155288126</v>
          </cell>
          <cell r="S24">
            <v>334868.03999999998</v>
          </cell>
          <cell r="T24">
            <v>2</v>
          </cell>
          <cell r="U24">
            <v>35</v>
          </cell>
          <cell r="V24">
            <v>117203.81399999998</v>
          </cell>
          <cell r="W24">
            <v>452071.85399999993</v>
          </cell>
          <cell r="X24">
            <v>205141.26359638968</v>
          </cell>
          <cell r="Y24">
            <v>205141.2635963897</v>
          </cell>
          <cell r="Z24">
            <v>10.199999999999999</v>
          </cell>
          <cell r="AA24">
            <v>4000</v>
          </cell>
        </row>
        <row r="25">
          <cell r="C25" t="str">
            <v xml:space="preserve">de Ponti </v>
          </cell>
          <cell r="D25" t="str">
            <v>Orlando</v>
          </cell>
          <cell r="E25" t="str">
            <v>R&amp;D Vegetable Seeds (Nunza)</v>
          </cell>
          <cell r="F25">
            <v>0</v>
          </cell>
          <cell r="G25" t="str">
            <v>Biotech</v>
          </cell>
          <cell r="H25">
            <v>0</v>
          </cell>
          <cell r="I25" t="str">
            <v>Local</v>
          </cell>
          <cell r="J25" t="str">
            <v>Netherlands</v>
          </cell>
          <cell r="K25">
            <v>0</v>
          </cell>
          <cell r="L25" t="str">
            <v>Lange</v>
          </cell>
          <cell r="M25" t="str">
            <v>Godard</v>
          </cell>
          <cell r="N25">
            <v>1358</v>
          </cell>
          <cell r="O25" t="str">
            <v>NLG</v>
          </cell>
          <cell r="P25" t="str">
            <v>NLG</v>
          </cell>
          <cell r="Q25" t="e">
            <v>#REF!</v>
          </cell>
          <cell r="R25">
            <v>113304.89492719097</v>
          </cell>
          <cell r="S25">
            <v>249691.13</v>
          </cell>
          <cell r="T25">
            <v>5.8</v>
          </cell>
          <cell r="U25">
            <v>35</v>
          </cell>
          <cell r="V25">
            <v>87391.895500000013</v>
          </cell>
          <cell r="W25">
            <v>337083.02549999999</v>
          </cell>
          <cell r="X25">
            <v>152961.6081517078</v>
          </cell>
          <cell r="Y25">
            <v>152961.60815170783</v>
          </cell>
          <cell r="Z25">
            <v>9.9</v>
          </cell>
          <cell r="AA25">
            <v>2600</v>
          </cell>
        </row>
        <row r="26">
          <cell r="C26" t="str">
            <v>Dargentolle</v>
          </cell>
          <cell r="D26" t="str">
            <v>Michel</v>
          </cell>
          <cell r="E26" t="str">
            <v>AUDIT</v>
          </cell>
          <cell r="F26">
            <v>1961</v>
          </cell>
          <cell r="G26" t="str">
            <v>AUDIT</v>
          </cell>
          <cell r="H26">
            <v>0</v>
          </cell>
          <cell r="I26" t="str">
            <v>Local</v>
          </cell>
          <cell r="J26" t="str">
            <v>France</v>
          </cell>
          <cell r="K26">
            <v>0</v>
          </cell>
          <cell r="L26" t="str">
            <v>Godard</v>
          </cell>
          <cell r="M26" t="str">
            <v>Godard</v>
          </cell>
          <cell r="N26">
            <v>1560</v>
          </cell>
          <cell r="O26" t="str">
            <v>FRF</v>
          </cell>
          <cell r="P26" t="str">
            <v>FRF</v>
          </cell>
          <cell r="Q26">
            <v>0</v>
          </cell>
          <cell r="R26">
            <v>86895.93982532392</v>
          </cell>
          <cell r="S26">
            <v>570000</v>
          </cell>
          <cell r="T26">
            <v>3.4</v>
          </cell>
          <cell r="U26">
            <v>35</v>
          </cell>
          <cell r="V26">
            <v>199500</v>
          </cell>
          <cell r="W26">
            <v>769500</v>
          </cell>
          <cell r="X26">
            <v>117309.51876418729</v>
          </cell>
          <cell r="Y26">
            <v>117309.51876418731</v>
          </cell>
          <cell r="Z26">
            <v>16.899999999999999</v>
          </cell>
          <cell r="AA26">
            <v>2000</v>
          </cell>
          <cell r="AB26" t="str">
            <v>Bonus payé sera de 30% car poste occupé en 2000 :3.</v>
          </cell>
        </row>
        <row r="27">
          <cell r="C27" t="str">
            <v>Delage</v>
          </cell>
          <cell r="D27" t="str">
            <v>Maurice</v>
          </cell>
          <cell r="E27" t="str">
            <v>USA Country Manager</v>
          </cell>
          <cell r="F27">
            <v>1951</v>
          </cell>
          <cell r="G27" t="str">
            <v>COO</v>
          </cell>
          <cell r="H27" t="str">
            <v>USA</v>
          </cell>
          <cell r="I27" t="str">
            <v>Local</v>
          </cell>
          <cell r="J27" t="str">
            <v>Canada/US</v>
          </cell>
          <cell r="K27">
            <v>0</v>
          </cell>
          <cell r="L27" t="str">
            <v>Méheut</v>
          </cell>
          <cell r="M27" t="str">
            <v>Godard</v>
          </cell>
          <cell r="N27">
            <v>2128</v>
          </cell>
          <cell r="O27" t="str">
            <v>CAD</v>
          </cell>
          <cell r="P27" t="str">
            <v>CAD</v>
          </cell>
          <cell r="Q27" t="e">
            <v>#REF!</v>
          </cell>
          <cell r="R27">
            <v>255639.09774436089</v>
          </cell>
          <cell r="S27">
            <v>357000</v>
          </cell>
          <cell r="T27">
            <v>5</v>
          </cell>
          <cell r="U27">
            <v>50</v>
          </cell>
          <cell r="V27">
            <v>178500</v>
          </cell>
          <cell r="W27">
            <v>535500</v>
          </cell>
          <cell r="X27">
            <v>383458.64661654131</v>
          </cell>
          <cell r="Y27">
            <v>383458.64661654131</v>
          </cell>
          <cell r="Z27">
            <v>12.5</v>
          </cell>
          <cell r="AA27">
            <v>10000</v>
          </cell>
        </row>
        <row r="28">
          <cell r="C28" t="str">
            <v>Döllinger</v>
          </cell>
          <cell r="D28" t="str">
            <v>Lothar</v>
          </cell>
          <cell r="E28" t="str">
            <v>EHSQ</v>
          </cell>
          <cell r="F28">
            <v>1951</v>
          </cell>
          <cell r="G28" t="str">
            <v>COO</v>
          </cell>
          <cell r="H28" t="str">
            <v>Manufacturing &amp; EHS</v>
          </cell>
          <cell r="I28" t="str">
            <v>Delegate</v>
          </cell>
          <cell r="J28" t="str">
            <v>Germany</v>
          </cell>
          <cell r="K28" t="str">
            <v>France</v>
          </cell>
          <cell r="L28" t="str">
            <v>Welter</v>
          </cell>
          <cell r="M28" t="str">
            <v>Méheut</v>
          </cell>
          <cell r="N28">
            <v>1418</v>
          </cell>
          <cell r="O28" t="str">
            <v>FRF</v>
          </cell>
          <cell r="P28" t="str">
            <v>FRF</v>
          </cell>
          <cell r="Q28" t="e">
            <v>#REF!</v>
          </cell>
          <cell r="R28">
            <v>124375.98806019298</v>
          </cell>
          <cell r="S28">
            <v>815853</v>
          </cell>
          <cell r="T28">
            <v>8</v>
          </cell>
          <cell r="U28">
            <v>35</v>
          </cell>
          <cell r="V28">
            <v>285548.55</v>
          </cell>
          <cell r="W28">
            <v>1101401.55</v>
          </cell>
          <cell r="X28">
            <v>167907.58388126051</v>
          </cell>
          <cell r="Y28">
            <v>167907.58388126054</v>
          </cell>
          <cell r="Z28">
            <v>16.600000000000001</v>
          </cell>
          <cell r="AA28">
            <v>3500</v>
          </cell>
        </row>
        <row r="29">
          <cell r="C29" t="str">
            <v>Dorn</v>
          </cell>
          <cell r="D29" t="str">
            <v>Erich</v>
          </cell>
          <cell r="E29" t="str">
            <v>Manager Global Development NCE's</v>
          </cell>
          <cell r="F29">
            <v>1949</v>
          </cell>
          <cell r="G29" t="str">
            <v>COO</v>
          </cell>
          <cell r="H29" t="str">
            <v>Innovation</v>
          </cell>
          <cell r="I29" t="str">
            <v>Local</v>
          </cell>
          <cell r="J29" t="str">
            <v>Germany</v>
          </cell>
          <cell r="K29">
            <v>0</v>
          </cell>
          <cell r="L29" t="str">
            <v>Leroux</v>
          </cell>
          <cell r="M29" t="str">
            <v>Méheut</v>
          </cell>
          <cell r="N29">
            <v>1628</v>
          </cell>
          <cell r="O29" t="str">
            <v>DEM</v>
          </cell>
          <cell r="P29" t="str">
            <v>DEM</v>
          </cell>
          <cell r="Q29" t="e">
            <v>#REF!</v>
          </cell>
          <cell r="R29">
            <v>119000</v>
          </cell>
          <cell r="S29">
            <v>232743.77</v>
          </cell>
          <cell r="T29">
            <v>12.1</v>
          </cell>
          <cell r="U29">
            <v>40</v>
          </cell>
          <cell r="V29">
            <v>93097.507999999987</v>
          </cell>
          <cell r="W29">
            <v>325841.27799999999</v>
          </cell>
          <cell r="X29">
            <v>166600</v>
          </cell>
          <cell r="Y29">
            <v>166600</v>
          </cell>
          <cell r="Z29">
            <v>25.6</v>
          </cell>
          <cell r="AA29">
            <v>6000</v>
          </cell>
        </row>
        <row r="30">
          <cell r="C30" t="str">
            <v>Drinkwater</v>
          </cell>
          <cell r="D30" t="str">
            <v>John</v>
          </cell>
          <cell r="E30" t="str">
            <v>Country Manager UK</v>
          </cell>
          <cell r="F30">
            <v>1957</v>
          </cell>
          <cell r="G30" t="str">
            <v>COO</v>
          </cell>
          <cell r="H30" t="str">
            <v>UK</v>
          </cell>
          <cell r="I30" t="str">
            <v>Local</v>
          </cell>
          <cell r="J30" t="str">
            <v>UK</v>
          </cell>
          <cell r="K30">
            <v>0</v>
          </cell>
          <cell r="L30" t="str">
            <v>Méheut</v>
          </cell>
          <cell r="M30" t="str">
            <v>Godard</v>
          </cell>
          <cell r="N30">
            <v>1708</v>
          </cell>
          <cell r="O30" t="str">
            <v>GBP</v>
          </cell>
          <cell r="P30" t="str">
            <v>GBP</v>
          </cell>
          <cell r="Q30" t="e">
            <v>#REF!</v>
          </cell>
          <cell r="R30">
            <v>139648.96651177696</v>
          </cell>
          <cell r="S30">
            <v>87154.92</v>
          </cell>
          <cell r="T30">
            <v>2</v>
          </cell>
          <cell r="U30">
            <v>40</v>
          </cell>
          <cell r="V30">
            <v>34861.968000000001</v>
          </cell>
          <cell r="W30">
            <v>122016.88800000001</v>
          </cell>
          <cell r="X30">
            <v>195508.55311648775</v>
          </cell>
          <cell r="Y30">
            <v>195508.55311648775</v>
          </cell>
          <cell r="Z30">
            <v>13.3</v>
          </cell>
          <cell r="AA30">
            <v>4000</v>
          </cell>
        </row>
        <row r="31">
          <cell r="C31" t="str">
            <v>Du Puy</v>
          </cell>
          <cell r="D31" t="str">
            <v>Jacques</v>
          </cell>
          <cell r="E31" t="str">
            <v>Country Manager Japan</v>
          </cell>
          <cell r="F31">
            <v>1958</v>
          </cell>
          <cell r="G31" t="str">
            <v>COO</v>
          </cell>
          <cell r="H31" t="str">
            <v>Japan</v>
          </cell>
          <cell r="I31" t="str">
            <v>Expat</v>
          </cell>
          <cell r="J31" t="str">
            <v>France</v>
          </cell>
          <cell r="K31" t="str">
            <v>Japan</v>
          </cell>
          <cell r="L31" t="str">
            <v>Méheut</v>
          </cell>
          <cell r="M31" t="str">
            <v>Godard</v>
          </cell>
          <cell r="N31">
            <v>1486</v>
          </cell>
          <cell r="O31" t="str">
            <v>FRF</v>
          </cell>
          <cell r="P31" t="str">
            <v>FRF</v>
          </cell>
          <cell r="Q31" t="e">
            <v>#REF!</v>
          </cell>
          <cell r="R31">
            <v>114336.76292805778</v>
          </cell>
          <cell r="S31">
            <v>750000</v>
          </cell>
          <cell r="T31">
            <v>30.4</v>
          </cell>
          <cell r="U31">
            <v>35</v>
          </cell>
          <cell r="V31">
            <v>262500</v>
          </cell>
          <cell r="W31">
            <v>1012500</v>
          </cell>
          <cell r="X31">
            <v>154354.62995287802</v>
          </cell>
          <cell r="Y31">
            <v>154354.62995287802</v>
          </cell>
          <cell r="Z31">
            <v>40.9</v>
          </cell>
          <cell r="AA31">
            <v>8000</v>
          </cell>
        </row>
        <row r="32">
          <cell r="C32" t="str">
            <v>Dudfield</v>
          </cell>
          <cell r="D32" t="str">
            <v>Phil</v>
          </cell>
          <cell r="E32" t="str">
            <v>Head of Hit Factory</v>
          </cell>
          <cell r="F32">
            <v>0</v>
          </cell>
          <cell r="G32" t="str">
            <v>COO</v>
          </cell>
          <cell r="H32" t="str">
            <v>Innovation</v>
          </cell>
          <cell r="I32" t="str">
            <v>Delegate</v>
          </cell>
          <cell r="J32" t="str">
            <v>UK</v>
          </cell>
          <cell r="K32" t="str">
            <v>Germany</v>
          </cell>
          <cell r="L32" t="str">
            <v>Greiner</v>
          </cell>
          <cell r="M32" t="str">
            <v>Leroux</v>
          </cell>
          <cell r="N32">
            <v>1232</v>
          </cell>
          <cell r="O32" t="str">
            <v>DEM</v>
          </cell>
          <cell r="P32" t="str">
            <v>DEM</v>
          </cell>
          <cell r="Q32" t="e">
            <v>#REF!</v>
          </cell>
          <cell r="R32">
            <v>93642.596749206219</v>
          </cell>
          <cell r="S32">
            <v>183149</v>
          </cell>
          <cell r="T32">
            <v>8</v>
          </cell>
          <cell r="U32">
            <v>35</v>
          </cell>
          <cell r="V32">
            <v>64102.15</v>
          </cell>
          <cell r="W32">
            <v>247251.15</v>
          </cell>
          <cell r="X32">
            <v>126417.50561142839</v>
          </cell>
          <cell r="Y32">
            <v>126417.50561142841</v>
          </cell>
          <cell r="Z32">
            <v>21.5</v>
          </cell>
          <cell r="AA32">
            <v>2600</v>
          </cell>
        </row>
        <row r="33">
          <cell r="C33" t="str">
            <v>Dumont</v>
          </cell>
          <cell r="D33" t="str">
            <v>Philippe</v>
          </cell>
          <cell r="E33" t="str">
            <v>Agronomy Trait Management</v>
          </cell>
          <cell r="F33">
            <v>1951</v>
          </cell>
          <cell r="G33" t="str">
            <v>Biotech</v>
          </cell>
          <cell r="H33">
            <v>0</v>
          </cell>
          <cell r="I33" t="str">
            <v>Local</v>
          </cell>
          <cell r="J33" t="str">
            <v>France</v>
          </cell>
          <cell r="K33">
            <v>0</v>
          </cell>
          <cell r="L33" t="str">
            <v>Morgan</v>
          </cell>
          <cell r="M33" t="str">
            <v>Godard</v>
          </cell>
          <cell r="N33">
            <v>1418</v>
          </cell>
          <cell r="O33" t="str">
            <v>FRF</v>
          </cell>
          <cell r="P33" t="str">
            <v>FRF</v>
          </cell>
          <cell r="Q33" t="e">
            <v>#REF!</v>
          </cell>
          <cell r="R33">
            <v>125770.43922086357</v>
          </cell>
          <cell r="S33">
            <v>825000</v>
          </cell>
          <cell r="T33">
            <v>10</v>
          </cell>
          <cell r="U33">
            <v>35</v>
          </cell>
          <cell r="V33">
            <v>288750</v>
          </cell>
          <cell r="W33">
            <v>1113750</v>
          </cell>
          <cell r="X33">
            <v>169790.09294816581</v>
          </cell>
          <cell r="Y33">
            <v>169790.09294816584</v>
          </cell>
          <cell r="Z33">
            <v>18.8</v>
          </cell>
          <cell r="AA33">
            <v>6000</v>
          </cell>
        </row>
        <row r="34">
          <cell r="C34" t="str">
            <v xml:space="preserve">Dupont </v>
          </cell>
          <cell r="D34" t="str">
            <v>Pierre-Louis</v>
          </cell>
          <cell r="E34" t="str">
            <v>LC Indian subcontinent &amp; SE Asia. ACS Group India</v>
          </cell>
          <cell r="F34">
            <v>0</v>
          </cell>
          <cell r="G34" t="str">
            <v>COO</v>
          </cell>
          <cell r="H34" t="str">
            <v>ACSI</v>
          </cell>
          <cell r="I34" t="str">
            <v xml:space="preserve">Expat </v>
          </cell>
          <cell r="J34" t="str">
            <v>France</v>
          </cell>
          <cell r="K34" t="str">
            <v>India</v>
          </cell>
          <cell r="L34" t="str">
            <v>von Olfers</v>
          </cell>
          <cell r="M34" t="str">
            <v>Méheut</v>
          </cell>
          <cell r="N34">
            <v>1708</v>
          </cell>
          <cell r="O34" t="str">
            <v>FRF</v>
          </cell>
          <cell r="P34" t="str">
            <v>FRF</v>
          </cell>
          <cell r="Q34" t="e">
            <v>#REF!</v>
          </cell>
          <cell r="R34">
            <v>136268.02671516579</v>
          </cell>
          <cell r="S34">
            <v>893859.66</v>
          </cell>
          <cell r="T34">
            <v>2</v>
          </cell>
          <cell r="U34">
            <v>40</v>
          </cell>
          <cell r="V34">
            <v>357543.864</v>
          </cell>
          <cell r="W34">
            <v>1251403.524</v>
          </cell>
          <cell r="X34">
            <v>190775.23740123209</v>
          </cell>
          <cell r="Y34">
            <v>190775.23740123209</v>
          </cell>
          <cell r="Z34">
            <v>14.8</v>
          </cell>
          <cell r="AA34">
            <v>4500</v>
          </cell>
        </row>
        <row r="35">
          <cell r="C35" t="str">
            <v xml:space="preserve">Duroni </v>
          </cell>
          <cell r="D35" t="str">
            <v>Olivier</v>
          </cell>
          <cell r="E35" t="str">
            <v>Country Manager Australia</v>
          </cell>
          <cell r="F35">
            <v>1963</v>
          </cell>
          <cell r="G35" t="str">
            <v>COO</v>
          </cell>
          <cell r="H35" t="str">
            <v>ACSI</v>
          </cell>
          <cell r="I35" t="str">
            <v>Expat</v>
          </cell>
          <cell r="J35" t="str">
            <v>France</v>
          </cell>
          <cell r="K35" t="str">
            <v>Australia</v>
          </cell>
          <cell r="L35" t="str">
            <v>von Olfers</v>
          </cell>
          <cell r="M35" t="str">
            <v>Méheut</v>
          </cell>
          <cell r="N35">
            <v>1486</v>
          </cell>
          <cell r="O35" t="str">
            <v>FRF</v>
          </cell>
          <cell r="P35" t="str">
            <v>FRF</v>
          </cell>
          <cell r="Q35" t="e">
            <v>#REF!</v>
          </cell>
          <cell r="R35">
            <v>99854.3</v>
          </cell>
          <cell r="S35">
            <v>655001.27065099997</v>
          </cell>
          <cell r="T35">
            <v>14.9</v>
          </cell>
          <cell r="U35">
            <v>35</v>
          </cell>
          <cell r="V35">
            <v>229250.44472785</v>
          </cell>
          <cell r="W35">
            <v>884251.71537885</v>
          </cell>
          <cell r="X35">
            <v>134803.30499999999</v>
          </cell>
          <cell r="Y35">
            <v>134803.30500000002</v>
          </cell>
          <cell r="Z35">
            <v>24.1</v>
          </cell>
          <cell r="AA35">
            <v>3250</v>
          </cell>
        </row>
        <row r="36">
          <cell r="B36" t="str">
            <v>R&amp;D</v>
          </cell>
          <cell r="C36" t="str">
            <v>Feyerabend</v>
          </cell>
          <cell r="D36" t="str">
            <v>Martin</v>
          </cell>
          <cell r="E36" t="str">
            <v>Head of Global  Environmental Risk Assessment</v>
          </cell>
          <cell r="F36">
            <v>1956</v>
          </cell>
          <cell r="G36" t="str">
            <v>COO</v>
          </cell>
          <cell r="H36" t="str">
            <v>Innovation</v>
          </cell>
          <cell r="I36" t="str">
            <v>Local</v>
          </cell>
          <cell r="J36" t="str">
            <v>Germany</v>
          </cell>
          <cell r="K36">
            <v>0</v>
          </cell>
          <cell r="L36" t="str">
            <v>Dorn</v>
          </cell>
          <cell r="M36" t="str">
            <v>Leroux</v>
          </cell>
          <cell r="N36">
            <v>1312</v>
          </cell>
          <cell r="O36" t="str">
            <v>DEM</v>
          </cell>
          <cell r="P36" t="str">
            <v>DEM R&amp;D</v>
          </cell>
          <cell r="Q36">
            <v>0</v>
          </cell>
          <cell r="R36">
            <v>87737.686813271095</v>
          </cell>
          <cell r="S36">
            <v>171600</v>
          </cell>
          <cell r="T36">
            <v>12.5</v>
          </cell>
          <cell r="U36">
            <v>35</v>
          </cell>
          <cell r="V36">
            <v>60060</v>
          </cell>
          <cell r="W36">
            <v>231660</v>
          </cell>
          <cell r="X36">
            <v>118445.87719791598</v>
          </cell>
          <cell r="Y36">
            <v>118445.87719791598</v>
          </cell>
          <cell r="Z36">
            <v>30</v>
          </cell>
          <cell r="AA36">
            <v>2500</v>
          </cell>
        </row>
        <row r="37">
          <cell r="C37" t="str">
            <v xml:space="preserve">Forcano </v>
          </cell>
          <cell r="D37" t="str">
            <v>Vicente</v>
          </cell>
          <cell r="E37" t="str">
            <v>Country Manager Spain</v>
          </cell>
          <cell r="F37">
            <v>0</v>
          </cell>
          <cell r="G37" t="str">
            <v>COO</v>
          </cell>
          <cell r="H37" t="str">
            <v>France</v>
          </cell>
          <cell r="I37" t="str">
            <v>Local</v>
          </cell>
          <cell r="J37" t="str">
            <v>Spain</v>
          </cell>
          <cell r="K37">
            <v>0</v>
          </cell>
          <cell r="L37" t="str">
            <v>Chalandon</v>
          </cell>
          <cell r="M37" t="str">
            <v>Méheut</v>
          </cell>
          <cell r="N37">
            <v>1486</v>
          </cell>
          <cell r="O37" t="str">
            <v>ESP</v>
          </cell>
          <cell r="P37" t="str">
            <v>ESP</v>
          </cell>
          <cell r="Q37" t="e">
            <v>#REF!</v>
          </cell>
          <cell r="R37">
            <v>140303.87051795225</v>
          </cell>
          <cell r="S37">
            <v>23344599.800000004</v>
          </cell>
          <cell r="T37">
            <v>3</v>
          </cell>
          <cell r="U37">
            <v>35</v>
          </cell>
          <cell r="V37">
            <v>8170609.9300000016</v>
          </cell>
          <cell r="W37">
            <v>31515209.730000004</v>
          </cell>
          <cell r="X37">
            <v>189410.22519923555</v>
          </cell>
          <cell r="Y37">
            <v>189410.22519923555</v>
          </cell>
          <cell r="Z37">
            <v>15.9</v>
          </cell>
          <cell r="AA37">
            <v>4000</v>
          </cell>
        </row>
        <row r="38">
          <cell r="B38" t="str">
            <v>R&amp;D</v>
          </cell>
          <cell r="C38" t="str">
            <v>Freyssinet</v>
          </cell>
          <cell r="D38" t="str">
            <v>Georges</v>
          </cell>
          <cell r="E38" t="str">
            <v>Genomics</v>
          </cell>
          <cell r="F38">
            <v>1946</v>
          </cell>
          <cell r="G38" t="str">
            <v>Biotech</v>
          </cell>
          <cell r="H38">
            <v>0</v>
          </cell>
          <cell r="I38" t="str">
            <v>Local</v>
          </cell>
          <cell r="J38" t="str">
            <v>France</v>
          </cell>
          <cell r="K38">
            <v>0</v>
          </cell>
          <cell r="L38" t="str">
            <v>Convent</v>
          </cell>
          <cell r="M38" t="str">
            <v>Morgan</v>
          </cell>
          <cell r="N38">
            <v>1936</v>
          </cell>
          <cell r="O38" t="str">
            <v>FRF</v>
          </cell>
          <cell r="P38" t="str">
            <v>FRF R&amp;D</v>
          </cell>
          <cell r="Q38" t="e">
            <v>#REF!</v>
          </cell>
          <cell r="R38">
            <v>113193.39529877721</v>
          </cell>
          <cell r="S38">
            <v>742500</v>
          </cell>
          <cell r="T38">
            <v>25</v>
          </cell>
          <cell r="U38">
            <v>40</v>
          </cell>
          <cell r="V38">
            <v>297000</v>
          </cell>
          <cell r="W38">
            <v>1039500</v>
          </cell>
          <cell r="X38">
            <v>158470.75341828808</v>
          </cell>
          <cell r="Y38">
            <v>158470.75341828808</v>
          </cell>
          <cell r="Z38">
            <v>52.2</v>
          </cell>
          <cell r="AA38">
            <v>6000</v>
          </cell>
        </row>
        <row r="39">
          <cell r="C39" t="str">
            <v xml:space="preserve">Gandon </v>
          </cell>
          <cell r="D39" t="str">
            <v>Denis</v>
          </cell>
          <cell r="E39" t="str">
            <v>GPTL</v>
          </cell>
          <cell r="F39">
            <v>0</v>
          </cell>
          <cell r="G39" t="str">
            <v>COO</v>
          </cell>
          <cell r="H39" t="str">
            <v>CPPM</v>
          </cell>
          <cell r="I39" t="str">
            <v>Local</v>
          </cell>
          <cell r="J39" t="str">
            <v>France</v>
          </cell>
          <cell r="K39">
            <v>0</v>
          </cell>
          <cell r="L39" t="str">
            <v>Bonnafoux</v>
          </cell>
          <cell r="M39" t="str">
            <v>Zirakparvar</v>
          </cell>
          <cell r="N39">
            <v>1232</v>
          </cell>
          <cell r="O39" t="str">
            <v>FRF</v>
          </cell>
          <cell r="P39" t="str">
            <v>FRF</v>
          </cell>
          <cell r="Q39" t="e">
            <v>#REF!</v>
          </cell>
          <cell r="R39">
            <v>84822.63319089514</v>
          </cell>
          <cell r="S39">
            <v>556400</v>
          </cell>
          <cell r="T39">
            <v>7</v>
          </cell>
          <cell r="U39">
            <v>35</v>
          </cell>
          <cell r="V39">
            <v>194740</v>
          </cell>
          <cell r="W39">
            <v>751140</v>
          </cell>
          <cell r="X39">
            <v>114510.55480770844</v>
          </cell>
          <cell r="Y39">
            <v>114510.55480770845</v>
          </cell>
          <cell r="Z39">
            <v>20.399999999999999</v>
          </cell>
          <cell r="AA39">
            <v>2000</v>
          </cell>
        </row>
        <row r="40">
          <cell r="C40" t="str">
            <v>Goetgheluck</v>
          </cell>
          <cell r="D40" t="str">
            <v>Rémy</v>
          </cell>
          <cell r="E40" t="str">
            <v>Insecticides II</v>
          </cell>
          <cell r="F40">
            <v>0</v>
          </cell>
          <cell r="G40" t="str">
            <v>COO</v>
          </cell>
          <cell r="H40" t="str">
            <v>CPPM</v>
          </cell>
          <cell r="I40" t="str">
            <v>Local</v>
          </cell>
          <cell r="J40" t="str">
            <v>France</v>
          </cell>
          <cell r="K40">
            <v>0</v>
          </cell>
          <cell r="L40" t="str">
            <v>Zirakparvar</v>
          </cell>
          <cell r="M40" t="str">
            <v>Méheut</v>
          </cell>
          <cell r="N40">
            <v>1628</v>
          </cell>
          <cell r="O40" t="str">
            <v>FRF</v>
          </cell>
          <cell r="P40" t="str">
            <v>FRF</v>
          </cell>
          <cell r="Q40" t="e">
            <v>#REF!</v>
          </cell>
          <cell r="R40">
            <v>132450.08438053104</v>
          </cell>
          <cell r="S40">
            <v>868815.6</v>
          </cell>
          <cell r="T40">
            <v>2</v>
          </cell>
          <cell r="U40">
            <v>40</v>
          </cell>
          <cell r="V40">
            <v>347526.24</v>
          </cell>
          <cell r="W40">
            <v>1216341.8399999999</v>
          </cell>
          <cell r="X40">
            <v>185430.11813274343</v>
          </cell>
          <cell r="Y40">
            <v>185430.11813274346</v>
          </cell>
          <cell r="Z40">
            <v>19</v>
          </cell>
          <cell r="AA40">
            <v>4000</v>
          </cell>
        </row>
        <row r="41">
          <cell r="B41" t="str">
            <v>R&amp;D</v>
          </cell>
          <cell r="C41" t="str">
            <v>Gouot</v>
          </cell>
          <cell r="D41" t="str">
            <v>Jean-Marie</v>
          </cell>
          <cell r="E41" t="str">
            <v>Indication leader Fungicides Lyon</v>
          </cell>
          <cell r="F41">
            <v>1946</v>
          </cell>
          <cell r="G41" t="str">
            <v>COO</v>
          </cell>
          <cell r="H41" t="str">
            <v>Innovation</v>
          </cell>
          <cell r="I41" t="str">
            <v>Local</v>
          </cell>
          <cell r="J41" t="str">
            <v>France</v>
          </cell>
          <cell r="K41">
            <v>0</v>
          </cell>
          <cell r="L41" t="str">
            <v>Greiner</v>
          </cell>
          <cell r="M41" t="str">
            <v>Leroux</v>
          </cell>
          <cell r="N41">
            <v>1358</v>
          </cell>
          <cell r="O41" t="str">
            <v>FRF</v>
          </cell>
          <cell r="P41" t="str">
            <v>FRF R&amp;D</v>
          </cell>
          <cell r="Q41" t="e">
            <v>#REF!</v>
          </cell>
          <cell r="R41">
            <v>87871.613535643337</v>
          </cell>
          <cell r="S41">
            <v>576400</v>
          </cell>
          <cell r="T41">
            <v>10</v>
          </cell>
          <cell r="U41">
            <v>35</v>
          </cell>
          <cell r="V41">
            <v>201740</v>
          </cell>
          <cell r="W41">
            <v>778140</v>
          </cell>
          <cell r="X41">
            <v>118626.67827311851</v>
          </cell>
          <cell r="Y41">
            <v>118626.67827311851</v>
          </cell>
          <cell r="Z41">
            <v>29.1</v>
          </cell>
          <cell r="AA41">
            <v>2500</v>
          </cell>
        </row>
        <row r="42">
          <cell r="B42" t="str">
            <v>R&amp;D</v>
          </cell>
          <cell r="C42" t="str">
            <v>Greiner</v>
          </cell>
          <cell r="D42" t="str">
            <v>Alfred</v>
          </cell>
          <cell r="E42" t="str">
            <v>Manager Global Discovery NCE's</v>
          </cell>
          <cell r="F42">
            <v>1949</v>
          </cell>
          <cell r="G42" t="str">
            <v>COO</v>
          </cell>
          <cell r="H42" t="str">
            <v>Innovation</v>
          </cell>
          <cell r="I42" t="str">
            <v>Delegate</v>
          </cell>
          <cell r="J42" t="str">
            <v>France</v>
          </cell>
          <cell r="K42" t="str">
            <v>Germany</v>
          </cell>
          <cell r="L42" t="str">
            <v>Leroux</v>
          </cell>
          <cell r="M42" t="str">
            <v>Méheut</v>
          </cell>
          <cell r="N42">
            <v>1788</v>
          </cell>
          <cell r="O42" t="str">
            <v>DEM</v>
          </cell>
          <cell r="P42" t="str">
            <v>DEM R&amp;D</v>
          </cell>
          <cell r="Q42" t="e">
            <v>#REF!</v>
          </cell>
          <cell r="R42">
            <v>110000.35790431684</v>
          </cell>
          <cell r="S42">
            <v>215142</v>
          </cell>
          <cell r="T42">
            <v>21.9</v>
          </cell>
          <cell r="U42">
            <v>40</v>
          </cell>
          <cell r="V42">
            <v>86056.8</v>
          </cell>
          <cell r="W42">
            <v>301198.8</v>
          </cell>
          <cell r="X42">
            <v>154000.50106604357</v>
          </cell>
          <cell r="Y42">
            <v>154000.50106604357</v>
          </cell>
          <cell r="Z42">
            <v>42.2</v>
          </cell>
          <cell r="AA42">
            <v>6000</v>
          </cell>
        </row>
        <row r="43">
          <cell r="B43" t="str">
            <v>R&amp;D</v>
          </cell>
          <cell r="C43" t="str">
            <v>Guinard</v>
          </cell>
          <cell r="D43" t="str">
            <v>Michel</v>
          </cell>
          <cell r="E43" t="str">
            <v>Head of Process Development</v>
          </cell>
          <cell r="F43">
            <v>1952</v>
          </cell>
          <cell r="G43" t="str">
            <v>COO</v>
          </cell>
          <cell r="H43" t="str">
            <v>Innovation</v>
          </cell>
          <cell r="I43" t="str">
            <v>Local</v>
          </cell>
          <cell r="J43" t="str">
            <v>France</v>
          </cell>
          <cell r="K43">
            <v>0</v>
          </cell>
          <cell r="L43" t="str">
            <v>Greiner</v>
          </cell>
          <cell r="M43" t="str">
            <v>Leroux</v>
          </cell>
          <cell r="N43">
            <v>1232</v>
          </cell>
          <cell r="O43" t="str">
            <v>FRF</v>
          </cell>
          <cell r="P43" t="str">
            <v>FRF R&amp;D</v>
          </cell>
          <cell r="Q43" t="e">
            <v>#REF!</v>
          </cell>
          <cell r="R43">
            <v>91301.716423485079</v>
          </cell>
          <cell r="S43">
            <v>598900</v>
          </cell>
          <cell r="T43">
            <v>6</v>
          </cell>
          <cell r="U43">
            <v>35</v>
          </cell>
          <cell r="V43">
            <v>209615</v>
          </cell>
          <cell r="W43">
            <v>808515</v>
          </cell>
          <cell r="X43">
            <v>123257.31717170485</v>
          </cell>
          <cell r="Y43">
            <v>123257.31717170487</v>
          </cell>
          <cell r="Z43">
            <v>30.1</v>
          </cell>
          <cell r="AA43">
            <v>2800</v>
          </cell>
        </row>
        <row r="44">
          <cell r="C44" t="str">
            <v xml:space="preserve">Halls </v>
          </cell>
          <cell r="D44" t="str">
            <v>Geoffrey</v>
          </cell>
          <cell r="E44" t="str">
            <v>Industrial Products</v>
          </cell>
          <cell r="F44">
            <v>0</v>
          </cell>
          <cell r="G44" t="str">
            <v>Envir</v>
          </cell>
          <cell r="H44">
            <v>0</v>
          </cell>
          <cell r="I44" t="str">
            <v>Expat</v>
          </cell>
          <cell r="J44" t="str">
            <v>UK</v>
          </cell>
          <cell r="K44" t="str">
            <v>Germany</v>
          </cell>
          <cell r="L44" t="str">
            <v>Barella</v>
          </cell>
          <cell r="M44" t="str">
            <v>Housset</v>
          </cell>
          <cell r="N44">
            <v>1232</v>
          </cell>
          <cell r="O44" t="str">
            <v>GBP</v>
          </cell>
          <cell r="P44" t="str">
            <v>GBP</v>
          </cell>
          <cell r="Q44" t="e">
            <v>#REF!</v>
          </cell>
          <cell r="R44">
            <v>122502.24323025155</v>
          </cell>
          <cell r="S44">
            <v>76453.649999999994</v>
          </cell>
          <cell r="T44">
            <v>5</v>
          </cell>
          <cell r="U44">
            <v>35</v>
          </cell>
          <cell r="V44">
            <v>26758.7775</v>
          </cell>
          <cell r="W44">
            <v>103212.42749999999</v>
          </cell>
          <cell r="X44">
            <v>165378.02836083958</v>
          </cell>
          <cell r="Y44">
            <v>165378.02836083961</v>
          </cell>
          <cell r="Z44">
            <v>13.4</v>
          </cell>
          <cell r="AA44">
            <v>2000</v>
          </cell>
        </row>
        <row r="45">
          <cell r="C45" t="str">
            <v xml:space="preserve">Howard </v>
          </cell>
          <cell r="D45" t="str">
            <v>Samuel</v>
          </cell>
          <cell r="E45" t="str">
            <v>Herbicides</v>
          </cell>
          <cell r="F45">
            <v>1956</v>
          </cell>
          <cell r="G45" t="str">
            <v>COO</v>
          </cell>
          <cell r="H45" t="str">
            <v>CPPM</v>
          </cell>
          <cell r="I45" t="str">
            <v>Expat</v>
          </cell>
          <cell r="J45" t="str">
            <v>Australia</v>
          </cell>
          <cell r="K45" t="str">
            <v>Germany</v>
          </cell>
          <cell r="L45" t="str">
            <v>Zirakparvar</v>
          </cell>
          <cell r="M45" t="str">
            <v>Méheut</v>
          </cell>
          <cell r="N45">
            <v>1628</v>
          </cell>
          <cell r="O45" t="str">
            <v>AUD</v>
          </cell>
          <cell r="P45" t="str">
            <v>AUD</v>
          </cell>
          <cell r="Q45" t="e">
            <v>#REF!</v>
          </cell>
          <cell r="R45">
            <v>113297.81252236136</v>
          </cell>
          <cell r="S45">
            <v>190000.43160000001</v>
          </cell>
          <cell r="T45">
            <v>2.2715789473980919E-6</v>
          </cell>
          <cell r="U45">
            <v>40</v>
          </cell>
          <cell r="V45">
            <v>76000.172640000004</v>
          </cell>
          <cell r="W45">
            <v>266000.60424000002</v>
          </cell>
          <cell r="X45">
            <v>158616.93753130591</v>
          </cell>
          <cell r="Y45">
            <v>158616.93753130588</v>
          </cell>
          <cell r="Z45">
            <v>16.7</v>
          </cell>
          <cell r="AA45">
            <v>4000</v>
          </cell>
        </row>
        <row r="46">
          <cell r="B46" t="str">
            <v>R&amp;D</v>
          </cell>
          <cell r="C46" t="str">
            <v>Joos</v>
          </cell>
          <cell r="D46" t="str">
            <v>Henk</v>
          </cell>
          <cell r="E46" t="str">
            <v>Breeding and Product Development</v>
          </cell>
          <cell r="F46">
            <v>0</v>
          </cell>
          <cell r="G46" t="str">
            <v>Biotech</v>
          </cell>
          <cell r="H46">
            <v>0</v>
          </cell>
          <cell r="I46" t="str">
            <v>Local</v>
          </cell>
          <cell r="J46" t="str">
            <v>Belgium</v>
          </cell>
          <cell r="K46" t="str">
            <v xml:space="preserve"> </v>
          </cell>
          <cell r="L46" t="str">
            <v>Convent</v>
          </cell>
          <cell r="M46" t="str">
            <v>Morgan</v>
          </cell>
          <cell r="N46">
            <v>1232</v>
          </cell>
          <cell r="O46" t="str">
            <v>FRF</v>
          </cell>
          <cell r="P46" t="str">
            <v>BEF</v>
          </cell>
          <cell r="Q46" t="e">
            <v>#REF!</v>
          </cell>
          <cell r="R46">
            <v>113501.55776290968</v>
          </cell>
          <cell r="S46">
            <v>4578641.49</v>
          </cell>
          <cell r="T46">
            <v>3</v>
          </cell>
          <cell r="U46">
            <v>35</v>
          </cell>
          <cell r="V46">
            <v>1602524.5215</v>
          </cell>
          <cell r="W46">
            <v>6181166.0115</v>
          </cell>
          <cell r="X46">
            <v>153227.10297992805</v>
          </cell>
          <cell r="Y46">
            <v>153227.10297992808</v>
          </cell>
          <cell r="Z46">
            <v>7</v>
          </cell>
          <cell r="AA46">
            <v>2600</v>
          </cell>
        </row>
        <row r="47">
          <cell r="C47" t="str">
            <v>Jouffret</v>
          </cell>
          <cell r="D47" t="str">
            <v>Michel</v>
          </cell>
          <cell r="E47" t="str">
            <v>HR  Advisor</v>
          </cell>
          <cell r="F47">
            <v>1941</v>
          </cell>
          <cell r="G47" t="str">
            <v>HR</v>
          </cell>
          <cell r="H47">
            <v>0</v>
          </cell>
          <cell r="I47" t="str">
            <v>Local</v>
          </cell>
          <cell r="J47" t="str">
            <v>France</v>
          </cell>
          <cell r="K47">
            <v>0</v>
          </cell>
          <cell r="L47" t="str">
            <v>Timner</v>
          </cell>
          <cell r="M47" t="str">
            <v>Godard</v>
          </cell>
          <cell r="N47">
            <v>1400</v>
          </cell>
          <cell r="O47" t="str">
            <v>FRF</v>
          </cell>
          <cell r="P47" t="str">
            <v>FRF</v>
          </cell>
          <cell r="Q47" t="e">
            <v>#REF!</v>
          </cell>
          <cell r="R47">
            <v>133659.67586289954</v>
          </cell>
          <cell r="S47">
            <v>876750</v>
          </cell>
          <cell r="T47">
            <v>5</v>
          </cell>
          <cell r="U47">
            <v>35</v>
          </cell>
          <cell r="V47">
            <v>306862.5</v>
          </cell>
          <cell r="W47">
            <v>1183612.5</v>
          </cell>
          <cell r="X47">
            <v>180440.5624149144</v>
          </cell>
          <cell r="Y47">
            <v>180440.5624149144</v>
          </cell>
          <cell r="Z47">
            <v>13.4</v>
          </cell>
          <cell r="AA47">
            <v>2500</v>
          </cell>
        </row>
        <row r="48">
          <cell r="C48" t="str">
            <v xml:space="preserve">Kaushik </v>
          </cell>
          <cell r="D48" t="str">
            <v>Sagar</v>
          </cell>
          <cell r="E48" t="str">
            <v>Country Manager India</v>
          </cell>
          <cell r="F48">
            <v>1952</v>
          </cell>
          <cell r="G48" t="str">
            <v>COO</v>
          </cell>
          <cell r="H48" t="str">
            <v>ACSI</v>
          </cell>
          <cell r="I48" t="str">
            <v>Local</v>
          </cell>
          <cell r="J48" t="str">
            <v>India</v>
          </cell>
          <cell r="K48">
            <v>0</v>
          </cell>
          <cell r="L48" t="str">
            <v>von Olfers</v>
          </cell>
          <cell r="M48" t="str">
            <v>Méheut</v>
          </cell>
          <cell r="N48">
            <v>1400</v>
          </cell>
          <cell r="O48" t="str">
            <v>INR/DEM</v>
          </cell>
          <cell r="P48" t="str">
            <v>INR/DEM</v>
          </cell>
          <cell r="Q48" t="e">
            <v>#REF!</v>
          </cell>
          <cell r="R48">
            <v>100123</v>
          </cell>
          <cell r="S48" t="str">
            <v>3 000 000 INR + 60 000 DEM</v>
          </cell>
          <cell r="T48" t="str">
            <v>_</v>
          </cell>
          <cell r="U48">
            <v>35</v>
          </cell>
          <cell r="V48" t="str">
            <v>1 050 000 INR +                 21 000 DEM</v>
          </cell>
          <cell r="W48" t="str">
            <v>4 050 000 INR + 81 000 DEM</v>
          </cell>
          <cell r="X48">
            <v>135165</v>
          </cell>
          <cell r="Y48">
            <v>135166.05000000002</v>
          </cell>
          <cell r="Z48" t="str">
            <v>_</v>
          </cell>
          <cell r="AA48">
            <v>2800</v>
          </cell>
        </row>
        <row r="49">
          <cell r="C49" t="str">
            <v xml:space="preserve">Kirby </v>
          </cell>
          <cell r="D49" t="str">
            <v>Steve</v>
          </cell>
          <cell r="E49" t="str">
            <v>Sales France</v>
          </cell>
          <cell r="F49">
            <v>1954</v>
          </cell>
          <cell r="G49" t="str">
            <v>COO</v>
          </cell>
          <cell r="H49" t="str">
            <v>France</v>
          </cell>
          <cell r="I49" t="str">
            <v>Local</v>
          </cell>
          <cell r="J49" t="str">
            <v>France</v>
          </cell>
          <cell r="K49">
            <v>0</v>
          </cell>
          <cell r="L49" t="str">
            <v>Chalandon</v>
          </cell>
          <cell r="M49" t="str">
            <v>Méheut</v>
          </cell>
          <cell r="N49">
            <v>1292</v>
          </cell>
          <cell r="O49" t="str">
            <v>FRF</v>
          </cell>
          <cell r="P49" t="str">
            <v>FRF</v>
          </cell>
          <cell r="Q49" t="e">
            <v>#REF!</v>
          </cell>
          <cell r="R49">
            <v>101453.81480798284</v>
          </cell>
          <cell r="S49">
            <v>665493.4</v>
          </cell>
          <cell r="T49">
            <v>10</v>
          </cell>
          <cell r="U49">
            <v>35</v>
          </cell>
          <cell r="V49">
            <v>232922.69</v>
          </cell>
          <cell r="W49">
            <v>898416.09000000008</v>
          </cell>
          <cell r="X49">
            <v>136962.64999077684</v>
          </cell>
          <cell r="Y49">
            <v>136962.64999077684</v>
          </cell>
          <cell r="Z49">
            <v>23.8</v>
          </cell>
          <cell r="AA49">
            <v>3000</v>
          </cell>
        </row>
        <row r="50">
          <cell r="C50" t="str">
            <v>Kneen</v>
          </cell>
          <cell r="D50" t="str">
            <v>Geoffrey</v>
          </cell>
          <cell r="E50" t="str">
            <v>Fungicides I</v>
          </cell>
          <cell r="F50">
            <v>1949</v>
          </cell>
          <cell r="G50" t="str">
            <v>COO</v>
          </cell>
          <cell r="H50" t="str">
            <v>CPPM</v>
          </cell>
          <cell r="I50" t="str">
            <v>Delegate</v>
          </cell>
          <cell r="J50" t="str">
            <v>UK</v>
          </cell>
          <cell r="K50" t="str">
            <v>France</v>
          </cell>
          <cell r="L50" t="str">
            <v>Zirakparvar</v>
          </cell>
          <cell r="M50" t="str">
            <v>Méheut</v>
          </cell>
          <cell r="N50">
            <v>1628</v>
          </cell>
          <cell r="O50" t="str">
            <v>FRF</v>
          </cell>
          <cell r="P50" t="str">
            <v>FRF</v>
          </cell>
          <cell r="Q50" t="e">
            <v>#REF!</v>
          </cell>
          <cell r="R50">
            <v>139327.88277280371</v>
          </cell>
          <cell r="S50">
            <v>913931</v>
          </cell>
          <cell r="T50">
            <v>2</v>
          </cell>
          <cell r="U50">
            <v>40</v>
          </cell>
          <cell r="V50">
            <v>365572.4</v>
          </cell>
          <cell r="W50">
            <v>1279503.3999999999</v>
          </cell>
          <cell r="X50">
            <v>195059.03588192517</v>
          </cell>
          <cell r="Y50">
            <v>195059.0358819252</v>
          </cell>
          <cell r="Z50">
            <v>19</v>
          </cell>
          <cell r="AA50">
            <v>4000</v>
          </cell>
        </row>
        <row r="51">
          <cell r="C51" t="str">
            <v xml:space="preserve">Kuah </v>
          </cell>
          <cell r="D51" t="str">
            <v>Tai Choon</v>
          </cell>
          <cell r="E51" t="str">
            <v>GPTL</v>
          </cell>
          <cell r="F51">
            <v>1959</v>
          </cell>
          <cell r="G51" t="str">
            <v>COO</v>
          </cell>
          <cell r="H51" t="str">
            <v>CPPM</v>
          </cell>
          <cell r="I51" t="str">
            <v>Expat</v>
          </cell>
          <cell r="J51" t="str">
            <v>Malaysia</v>
          </cell>
          <cell r="K51" t="str">
            <v>France</v>
          </cell>
          <cell r="L51" t="str">
            <v>Howard</v>
          </cell>
          <cell r="M51" t="str">
            <v>Zirakparvar</v>
          </cell>
          <cell r="N51">
            <v>1232</v>
          </cell>
          <cell r="O51" t="str">
            <v>MYR</v>
          </cell>
          <cell r="P51" t="str">
            <v>MYR</v>
          </cell>
          <cell r="Q51" t="e">
            <v>#REF!</v>
          </cell>
          <cell r="R51">
            <v>63479.623292513934</v>
          </cell>
          <cell r="S51">
            <v>224457.60000000001</v>
          </cell>
          <cell r="T51">
            <v>3</v>
          </cell>
          <cell r="U51">
            <v>35</v>
          </cell>
          <cell r="V51">
            <v>78560.160000000003</v>
          </cell>
          <cell r="W51">
            <v>303017.76</v>
          </cell>
          <cell r="X51">
            <v>85697.491444893807</v>
          </cell>
          <cell r="Y51">
            <v>85697.491444893822</v>
          </cell>
          <cell r="Z51">
            <v>19.2</v>
          </cell>
          <cell r="AA51">
            <v>2000</v>
          </cell>
        </row>
        <row r="52">
          <cell r="C52" t="str">
            <v>Labrosse</v>
          </cell>
          <cell r="D52" t="str">
            <v>Bruno</v>
          </cell>
          <cell r="E52" t="str">
            <v>Corporate Finance</v>
          </cell>
          <cell r="F52">
            <v>1961</v>
          </cell>
          <cell r="G52" t="str">
            <v>CFO</v>
          </cell>
          <cell r="H52">
            <v>0</v>
          </cell>
          <cell r="I52" t="str">
            <v>Local</v>
          </cell>
          <cell r="J52" t="str">
            <v>France</v>
          </cell>
          <cell r="K52">
            <v>0</v>
          </cell>
          <cell r="L52" t="str">
            <v>Lac</v>
          </cell>
          <cell r="M52" t="str">
            <v>Godard</v>
          </cell>
          <cell r="N52">
            <v>1560</v>
          </cell>
          <cell r="O52" t="str">
            <v>FRF</v>
          </cell>
          <cell r="P52" t="str">
            <v>FRF</v>
          </cell>
          <cell r="Q52" t="e">
            <v>#REF!</v>
          </cell>
          <cell r="R52">
            <v>92917.676006201626</v>
          </cell>
          <cell r="S52">
            <v>609500</v>
          </cell>
          <cell r="T52">
            <v>15</v>
          </cell>
          <cell r="U52">
            <v>35</v>
          </cell>
          <cell r="V52">
            <v>213325</v>
          </cell>
          <cell r="W52">
            <v>822825</v>
          </cell>
          <cell r="X52">
            <v>125438.86260837219</v>
          </cell>
          <cell r="Y52">
            <v>125438.8626083722</v>
          </cell>
          <cell r="Z52">
            <v>29.4</v>
          </cell>
          <cell r="AA52">
            <v>3300</v>
          </cell>
        </row>
        <row r="53">
          <cell r="C53" t="str">
            <v xml:space="preserve">Lange </v>
          </cell>
          <cell r="D53" t="str">
            <v>Henk</v>
          </cell>
          <cell r="E53" t="str">
            <v>Vegetable Seeds</v>
          </cell>
          <cell r="F53">
            <v>1938</v>
          </cell>
          <cell r="G53" t="str">
            <v>Biotech</v>
          </cell>
          <cell r="H53">
            <v>0</v>
          </cell>
          <cell r="I53" t="str">
            <v>Local</v>
          </cell>
          <cell r="J53" t="str">
            <v>Netherlands</v>
          </cell>
          <cell r="K53">
            <v>0</v>
          </cell>
          <cell r="L53" t="str">
            <v>Morgan</v>
          </cell>
          <cell r="M53" t="str">
            <v>Godard</v>
          </cell>
          <cell r="N53">
            <v>1708</v>
          </cell>
          <cell r="O53" t="str">
            <v>NLG</v>
          </cell>
          <cell r="P53" t="str">
            <v>NLG</v>
          </cell>
          <cell r="Q53" t="e">
            <v>#REF!</v>
          </cell>
          <cell r="R53">
            <v>148113.86253182133</v>
          </cell>
          <cell r="S53">
            <v>326400</v>
          </cell>
          <cell r="T53">
            <v>2</v>
          </cell>
          <cell r="U53">
            <v>40</v>
          </cell>
          <cell r="V53">
            <v>130560</v>
          </cell>
          <cell r="W53">
            <v>456960</v>
          </cell>
          <cell r="X53">
            <v>207359.40754454987</v>
          </cell>
          <cell r="Y53">
            <v>207359.40754454985</v>
          </cell>
          <cell r="Z53">
            <v>9.8000000000000007</v>
          </cell>
          <cell r="AA53">
            <v>6000</v>
          </cell>
        </row>
        <row r="54">
          <cell r="B54" t="str">
            <v>R&amp;D</v>
          </cell>
          <cell r="C54" t="str">
            <v>Leroux</v>
          </cell>
          <cell r="D54" t="str">
            <v>Bernard</v>
          </cell>
          <cell r="E54" t="str">
            <v>Innovation</v>
          </cell>
          <cell r="F54">
            <v>1959</v>
          </cell>
          <cell r="G54" t="str">
            <v>Innovation</v>
          </cell>
          <cell r="H54">
            <v>0</v>
          </cell>
          <cell r="I54" t="str">
            <v>Delegate</v>
          </cell>
          <cell r="J54" t="str">
            <v>France</v>
          </cell>
          <cell r="K54" t="str">
            <v>Germany</v>
          </cell>
          <cell r="L54" t="str">
            <v>Méheut</v>
          </cell>
          <cell r="M54" t="str">
            <v>Godard</v>
          </cell>
          <cell r="N54">
            <v>2260</v>
          </cell>
          <cell r="O54" t="str">
            <v>DEM</v>
          </cell>
          <cell r="P54" t="str">
            <v>DEM R&amp;D</v>
          </cell>
          <cell r="Q54">
            <v>0</v>
          </cell>
          <cell r="R54">
            <v>129581.81437036961</v>
          </cell>
          <cell r="S54">
            <v>253440</v>
          </cell>
          <cell r="T54">
            <v>21</v>
          </cell>
          <cell r="U54">
            <v>50</v>
          </cell>
          <cell r="V54">
            <v>126720</v>
          </cell>
          <cell r="W54">
            <v>380160</v>
          </cell>
          <cell r="X54">
            <v>194372.72155555442</v>
          </cell>
          <cell r="Y54">
            <v>194372.72155555442</v>
          </cell>
          <cell r="Z54" t="str">
            <v>?</v>
          </cell>
          <cell r="AA54">
            <v>5000</v>
          </cell>
          <cell r="AB54" t="str">
            <v>Poste non évalué - Estimation milieu de A1</v>
          </cell>
        </row>
        <row r="55">
          <cell r="C55" t="str">
            <v xml:space="preserve">Lorenz </v>
          </cell>
          <cell r="D55" t="str">
            <v>Andreas</v>
          </cell>
          <cell r="E55" t="str">
            <v>LC South America &amp; Carribean Islands. CM Columbia</v>
          </cell>
          <cell r="F55">
            <v>0</v>
          </cell>
          <cell r="G55" t="str">
            <v>COO</v>
          </cell>
          <cell r="H55" t="str">
            <v>ACSI</v>
          </cell>
          <cell r="I55" t="str">
            <v>Expat</v>
          </cell>
          <cell r="J55" t="str">
            <v>Germany</v>
          </cell>
          <cell r="K55" t="str">
            <v>Columbia</v>
          </cell>
          <cell r="L55" t="str">
            <v>von Olfers</v>
          </cell>
          <cell r="M55" t="str">
            <v>Méheut</v>
          </cell>
          <cell r="N55">
            <v>1486</v>
          </cell>
          <cell r="O55" t="str">
            <v>DEM</v>
          </cell>
          <cell r="P55" t="str">
            <v>DEM</v>
          </cell>
          <cell r="Q55" t="e">
            <v>#REF!</v>
          </cell>
          <cell r="R55">
            <v>104999.80059616634</v>
          </cell>
          <cell r="S55">
            <v>205361.76</v>
          </cell>
          <cell r="T55">
            <v>18</v>
          </cell>
          <cell r="U55">
            <v>35</v>
          </cell>
          <cell r="V55">
            <v>71876.616000000009</v>
          </cell>
          <cell r="W55">
            <v>277238.37600000005</v>
          </cell>
          <cell r="X55">
            <v>141749.73080482459</v>
          </cell>
          <cell r="Y55">
            <v>141749.73080482456</v>
          </cell>
          <cell r="Z55">
            <v>32.799999999999997</v>
          </cell>
          <cell r="AA55">
            <v>2600</v>
          </cell>
        </row>
        <row r="56">
          <cell r="C56" t="str">
            <v>Lutz</v>
          </cell>
          <cell r="D56" t="str">
            <v xml:space="preserve"> Guy</v>
          </cell>
          <cell r="E56" t="str">
            <v>Supply Chain France</v>
          </cell>
          <cell r="F56">
            <v>0</v>
          </cell>
          <cell r="G56" t="str">
            <v>COO</v>
          </cell>
          <cell r="H56" t="str">
            <v>France</v>
          </cell>
          <cell r="I56" t="str">
            <v>Local</v>
          </cell>
          <cell r="J56" t="str">
            <v>France</v>
          </cell>
          <cell r="K56">
            <v>0</v>
          </cell>
          <cell r="L56" t="str">
            <v>Chalandon</v>
          </cell>
          <cell r="M56" t="str">
            <v>Méheut</v>
          </cell>
          <cell r="N56">
            <v>1200</v>
          </cell>
          <cell r="O56" t="str">
            <v>FRF</v>
          </cell>
          <cell r="P56" t="str">
            <v>FRF</v>
          </cell>
          <cell r="Q56" t="e">
            <v>#REF!</v>
          </cell>
          <cell r="R56">
            <v>105569.69435496535</v>
          </cell>
          <cell r="S56">
            <v>692491.8</v>
          </cell>
          <cell r="T56">
            <v>5</v>
          </cell>
          <cell r="U56">
            <v>35</v>
          </cell>
          <cell r="V56">
            <v>242372.13</v>
          </cell>
          <cell r="W56">
            <v>934863.93</v>
          </cell>
          <cell r="X56">
            <v>142519.08737920321</v>
          </cell>
          <cell r="Y56">
            <v>142519.08737920324</v>
          </cell>
          <cell r="Z56">
            <v>13.4</v>
          </cell>
          <cell r="AA56">
            <v>1500</v>
          </cell>
        </row>
        <row r="57">
          <cell r="B57" t="str">
            <v>R&amp;D</v>
          </cell>
          <cell r="C57" t="str">
            <v>Maier</v>
          </cell>
          <cell r="D57" t="str">
            <v>Thomas</v>
          </cell>
          <cell r="E57" t="str">
            <v>Head of Global Formulation and Packaging</v>
          </cell>
          <cell r="F57">
            <v>0</v>
          </cell>
          <cell r="G57" t="str">
            <v>COO</v>
          </cell>
          <cell r="H57" t="str">
            <v>Innovation</v>
          </cell>
          <cell r="I57" t="str">
            <v>Local</v>
          </cell>
          <cell r="J57" t="str">
            <v>Germany</v>
          </cell>
          <cell r="K57">
            <v>0</v>
          </cell>
          <cell r="L57" t="str">
            <v>Dorn</v>
          </cell>
          <cell r="M57" t="str">
            <v>Leroux</v>
          </cell>
          <cell r="N57">
            <v>1232</v>
          </cell>
          <cell r="O57" t="str">
            <v>DEM</v>
          </cell>
          <cell r="P57" t="str">
            <v>DEM R&amp;D</v>
          </cell>
          <cell r="Q57" t="e">
            <v>#REF!</v>
          </cell>
          <cell r="R57">
            <v>111515.82704018243</v>
          </cell>
          <cell r="S57">
            <v>218106</v>
          </cell>
          <cell r="T57">
            <v>5</v>
          </cell>
          <cell r="U57">
            <v>35</v>
          </cell>
          <cell r="V57">
            <v>76337.100000000006</v>
          </cell>
          <cell r="W57">
            <v>294443.09999999998</v>
          </cell>
          <cell r="X57">
            <v>150546.36650424628</v>
          </cell>
          <cell r="Y57">
            <v>150546.36650424628</v>
          </cell>
          <cell r="Z57">
            <v>13.4</v>
          </cell>
          <cell r="AA57">
            <v>2600</v>
          </cell>
        </row>
        <row r="58">
          <cell r="B58" t="str">
            <v>R&amp;D</v>
          </cell>
          <cell r="C58" t="str">
            <v>Makowski</v>
          </cell>
          <cell r="D58" t="str">
            <v>Edward J.</v>
          </cell>
          <cell r="E58" t="str">
            <v>R&amp;D NA - Market Development</v>
          </cell>
          <cell r="F58">
            <v>1953</v>
          </cell>
          <cell r="G58" t="str">
            <v>COO</v>
          </cell>
          <cell r="H58" t="str">
            <v>USA</v>
          </cell>
          <cell r="I58" t="str">
            <v>Local</v>
          </cell>
          <cell r="J58" t="str">
            <v>USA</v>
          </cell>
          <cell r="K58">
            <v>0</v>
          </cell>
          <cell r="L58" t="str">
            <v>Delage</v>
          </cell>
          <cell r="M58" t="str">
            <v>Méheut</v>
          </cell>
          <cell r="N58">
            <v>1418</v>
          </cell>
          <cell r="O58" t="str">
            <v>USD</v>
          </cell>
          <cell r="P58" t="str">
            <v>USD R&amp;D</v>
          </cell>
          <cell r="Q58" t="e">
            <v>#REF!</v>
          </cell>
          <cell r="R58">
            <v>209150.97259537884</v>
          </cell>
          <cell r="S58">
            <v>194614.98</v>
          </cell>
          <cell r="T58" t="str">
            <v>-</v>
          </cell>
          <cell r="U58">
            <v>35</v>
          </cell>
          <cell r="V58">
            <v>68115.243000000002</v>
          </cell>
          <cell r="W58">
            <v>262730.223</v>
          </cell>
          <cell r="X58">
            <v>282353.8130037614</v>
          </cell>
          <cell r="Y58">
            <v>282353.81300376146</v>
          </cell>
          <cell r="Z58">
            <v>5.9</v>
          </cell>
          <cell r="AA58">
            <v>4500</v>
          </cell>
        </row>
        <row r="59">
          <cell r="C59" t="str">
            <v>Martinet</v>
          </cell>
          <cell r="D59" t="str">
            <v>Jean-Pierre</v>
          </cell>
          <cell r="E59" t="str">
            <v>Manager Site Operations</v>
          </cell>
          <cell r="F59">
            <v>1945</v>
          </cell>
          <cell r="G59" t="str">
            <v>COO</v>
          </cell>
          <cell r="H59" t="str">
            <v>Manufacturing &amp; EHS</v>
          </cell>
          <cell r="I59" t="str">
            <v>Local</v>
          </cell>
          <cell r="J59" t="str">
            <v>France</v>
          </cell>
          <cell r="K59">
            <v>0</v>
          </cell>
          <cell r="L59" t="str">
            <v>Welter</v>
          </cell>
          <cell r="M59" t="str">
            <v>Méheut</v>
          </cell>
          <cell r="N59">
            <v>1708</v>
          </cell>
          <cell r="O59" t="str">
            <v>FRF</v>
          </cell>
          <cell r="P59" t="str">
            <v>FRF</v>
          </cell>
          <cell r="Q59" t="e">
            <v>#REF!</v>
          </cell>
          <cell r="R59">
            <v>130000</v>
          </cell>
          <cell r="S59">
            <v>852744.1</v>
          </cell>
          <cell r="T59">
            <v>4</v>
          </cell>
          <cell r="U59">
            <v>40</v>
          </cell>
          <cell r="V59">
            <v>341097.64</v>
          </cell>
          <cell r="W59">
            <v>1193841.74</v>
          </cell>
          <cell r="X59">
            <v>182000</v>
          </cell>
          <cell r="Y59">
            <v>182000</v>
          </cell>
          <cell r="Z59">
            <v>12</v>
          </cell>
          <cell r="AA59">
            <v>6000</v>
          </cell>
        </row>
        <row r="60">
          <cell r="C60" t="str">
            <v>Mc Donnell</v>
          </cell>
          <cell r="D60" t="str">
            <v>Patrick</v>
          </cell>
          <cell r="E60" t="str">
            <v>US Crop Protection Sales</v>
          </cell>
          <cell r="F60">
            <v>1958</v>
          </cell>
          <cell r="G60" t="str">
            <v>COO</v>
          </cell>
          <cell r="H60" t="str">
            <v>USA</v>
          </cell>
          <cell r="I60" t="str">
            <v>Local</v>
          </cell>
          <cell r="J60" t="str">
            <v>USA</v>
          </cell>
          <cell r="K60">
            <v>0</v>
          </cell>
          <cell r="L60" t="str">
            <v>Delage</v>
          </cell>
          <cell r="M60" t="str">
            <v>Méheut</v>
          </cell>
          <cell r="N60">
            <v>1486</v>
          </cell>
          <cell r="O60" t="str">
            <v>USD</v>
          </cell>
          <cell r="P60" t="str">
            <v>USD</v>
          </cell>
          <cell r="Q60" t="e">
            <v>#REF!</v>
          </cell>
          <cell r="R60">
            <v>211475.98065556152</v>
          </cell>
          <cell r="S60">
            <v>196778.4</v>
          </cell>
          <cell r="T60">
            <v>2</v>
          </cell>
          <cell r="U60">
            <v>35</v>
          </cell>
          <cell r="V60">
            <v>68872.44</v>
          </cell>
          <cell r="W60">
            <v>265650.83999999997</v>
          </cell>
          <cell r="X60">
            <v>285492.57388500805</v>
          </cell>
          <cell r="Y60">
            <v>285492.57388500805</v>
          </cell>
          <cell r="Z60">
            <v>5.9</v>
          </cell>
          <cell r="AA60">
            <v>5000</v>
          </cell>
        </row>
        <row r="61">
          <cell r="C61" t="str">
            <v xml:space="preserve">Mollon </v>
          </cell>
          <cell r="D61" t="str">
            <v>Jean-Pierre</v>
          </cell>
          <cell r="E61" t="str">
            <v>Marketing ACS France</v>
          </cell>
          <cell r="F61">
            <v>0</v>
          </cell>
          <cell r="G61" t="str">
            <v>COO</v>
          </cell>
          <cell r="H61" t="str">
            <v>France</v>
          </cell>
          <cell r="I61" t="str">
            <v>Local</v>
          </cell>
          <cell r="J61" t="str">
            <v>France</v>
          </cell>
          <cell r="K61">
            <v>0</v>
          </cell>
          <cell r="L61" t="str">
            <v>Chalandon</v>
          </cell>
          <cell r="M61" t="str">
            <v>Méheut</v>
          </cell>
          <cell r="N61">
            <v>1232</v>
          </cell>
          <cell r="O61" t="str">
            <v>FRF</v>
          </cell>
          <cell r="P61" t="str">
            <v>FRF</v>
          </cell>
          <cell r="Q61" t="e">
            <v>#REF!</v>
          </cell>
          <cell r="R61">
            <v>136923.60932195251</v>
          </cell>
          <cell r="S61">
            <v>898160</v>
          </cell>
          <cell r="T61">
            <v>3</v>
          </cell>
          <cell r="U61">
            <v>35</v>
          </cell>
          <cell r="V61">
            <v>314356</v>
          </cell>
          <cell r="W61">
            <v>1212516</v>
          </cell>
          <cell r="X61">
            <v>184846.87258463589</v>
          </cell>
          <cell r="Y61">
            <v>184846.87258463589</v>
          </cell>
          <cell r="Z61">
            <v>15.9</v>
          </cell>
          <cell r="AA61">
            <v>3000</v>
          </cell>
        </row>
        <row r="62">
          <cell r="C62" t="str">
            <v>Morgan</v>
          </cell>
          <cell r="D62" t="str">
            <v>David</v>
          </cell>
          <cell r="E62" t="str">
            <v>Biotech</v>
          </cell>
          <cell r="F62">
            <v>1955</v>
          </cell>
          <cell r="G62" t="str">
            <v>Biotech</v>
          </cell>
          <cell r="H62">
            <v>0</v>
          </cell>
          <cell r="I62" t="str">
            <v>Delegate</v>
          </cell>
          <cell r="J62" t="str">
            <v>UK</v>
          </cell>
          <cell r="K62" t="str">
            <v>France</v>
          </cell>
          <cell r="L62" t="str">
            <v>Godard</v>
          </cell>
          <cell r="M62" t="str">
            <v>Godard</v>
          </cell>
          <cell r="N62">
            <v>1560</v>
          </cell>
          <cell r="O62" t="str">
            <v>FRF</v>
          </cell>
          <cell r="P62" t="str">
            <v>FRF</v>
          </cell>
          <cell r="Q62" t="e">
            <v>#REF!</v>
          </cell>
          <cell r="R62">
            <v>153912.98514994123</v>
          </cell>
          <cell r="S62">
            <v>1009603</v>
          </cell>
          <cell r="T62">
            <v>13.9</v>
          </cell>
          <cell r="U62">
            <v>35</v>
          </cell>
          <cell r="V62">
            <v>353361.05</v>
          </cell>
          <cell r="W62">
            <v>1362964.05</v>
          </cell>
          <cell r="X62">
            <v>207782.52995242068</v>
          </cell>
          <cell r="Y62">
            <v>207782.52995242068</v>
          </cell>
          <cell r="Z62">
            <v>28.1</v>
          </cell>
          <cell r="AA62">
            <v>4000</v>
          </cell>
        </row>
        <row r="63">
          <cell r="C63" t="str">
            <v>Murgue</v>
          </cell>
          <cell r="D63" t="str">
            <v>Emmanuel</v>
          </cell>
          <cell r="E63" t="str">
            <v>Legal Head</v>
          </cell>
          <cell r="F63">
            <v>1958</v>
          </cell>
          <cell r="G63" t="str">
            <v>Legal</v>
          </cell>
          <cell r="H63">
            <v>0</v>
          </cell>
          <cell r="I63" t="str">
            <v>Local</v>
          </cell>
          <cell r="J63" t="str">
            <v>France</v>
          </cell>
          <cell r="K63">
            <v>0</v>
          </cell>
          <cell r="L63" t="str">
            <v>Godard</v>
          </cell>
          <cell r="M63" t="str">
            <v>Godard</v>
          </cell>
          <cell r="N63">
            <v>1936</v>
          </cell>
          <cell r="O63" t="str">
            <v>FRF</v>
          </cell>
          <cell r="P63" t="str">
            <v>FRF</v>
          </cell>
          <cell r="Q63" t="e">
            <v>#REF!</v>
          </cell>
          <cell r="R63">
            <v>128057.17447942472</v>
          </cell>
          <cell r="S63">
            <v>840000</v>
          </cell>
          <cell r="T63">
            <v>20</v>
          </cell>
          <cell r="U63">
            <v>40</v>
          </cell>
          <cell r="V63">
            <v>336000</v>
          </cell>
          <cell r="W63">
            <v>1176000</v>
          </cell>
          <cell r="X63">
            <v>179280.04427119461</v>
          </cell>
          <cell r="Y63">
            <v>179280.04427119461</v>
          </cell>
          <cell r="Z63">
            <v>34.4</v>
          </cell>
          <cell r="AA63">
            <v>6500</v>
          </cell>
        </row>
        <row r="64">
          <cell r="C64" t="str">
            <v>Nadisson</v>
          </cell>
          <cell r="D64" t="str">
            <v>Jeffrey</v>
          </cell>
          <cell r="E64" t="str">
            <v>Quality Traits Projects</v>
          </cell>
          <cell r="F64">
            <v>1959</v>
          </cell>
          <cell r="G64" t="str">
            <v>Biotech</v>
          </cell>
          <cell r="H64">
            <v>0</v>
          </cell>
          <cell r="I64" t="str">
            <v>Local</v>
          </cell>
          <cell r="J64" t="str">
            <v>France</v>
          </cell>
          <cell r="K64">
            <v>0</v>
          </cell>
          <cell r="L64" t="str">
            <v>Prante</v>
          </cell>
          <cell r="M64" t="str">
            <v>Godard</v>
          </cell>
          <cell r="N64">
            <v>1860</v>
          </cell>
          <cell r="O64" t="str">
            <v>FRF</v>
          </cell>
          <cell r="P64" t="str">
            <v>FRF</v>
          </cell>
          <cell r="Q64">
            <v>0</v>
          </cell>
          <cell r="R64">
            <v>161595.95827165499</v>
          </cell>
          <cell r="S64">
            <v>1060000</v>
          </cell>
          <cell r="T64">
            <v>6</v>
          </cell>
          <cell r="U64">
            <v>40</v>
          </cell>
          <cell r="V64">
            <v>424000</v>
          </cell>
          <cell r="W64">
            <v>1484000</v>
          </cell>
          <cell r="X64">
            <v>226234.34158031701</v>
          </cell>
          <cell r="Y64">
            <v>226234.34158031698</v>
          </cell>
          <cell r="Z64">
            <v>0</v>
          </cell>
          <cell r="AA64">
            <v>6000</v>
          </cell>
          <cell r="AB64" t="str">
            <v>Chavanon</v>
          </cell>
        </row>
        <row r="65">
          <cell r="B65" t="str">
            <v>R&amp;D</v>
          </cell>
          <cell r="C65" t="str">
            <v>Pallet</v>
          </cell>
          <cell r="D65" t="str">
            <v>Ken</v>
          </cell>
          <cell r="E65" t="str">
            <v>Function Head Biology / Herbicides + Biology Coordination</v>
          </cell>
          <cell r="F65">
            <v>1952</v>
          </cell>
          <cell r="G65" t="str">
            <v>COO</v>
          </cell>
          <cell r="H65" t="str">
            <v>Innovation</v>
          </cell>
          <cell r="I65" t="str">
            <v xml:space="preserve">Expat </v>
          </cell>
          <cell r="J65" t="str">
            <v>UK</v>
          </cell>
          <cell r="K65" t="str">
            <v>Germany</v>
          </cell>
          <cell r="L65" t="str">
            <v>Wengenmayer</v>
          </cell>
          <cell r="M65" t="str">
            <v>Leroux</v>
          </cell>
          <cell r="N65">
            <v>1232</v>
          </cell>
          <cell r="O65" t="str">
            <v>GBP</v>
          </cell>
          <cell r="P65" t="str">
            <v>GBP R&amp;D</v>
          </cell>
          <cell r="Q65" t="e">
            <v>#REF!</v>
          </cell>
          <cell r="R65">
            <v>88635.795545585643</v>
          </cell>
          <cell r="S65">
            <v>55317.599999999999</v>
          </cell>
          <cell r="T65">
            <v>8</v>
          </cell>
          <cell r="U65">
            <v>35</v>
          </cell>
          <cell r="V65">
            <v>19361.16</v>
          </cell>
          <cell r="W65">
            <v>74678.759999999995</v>
          </cell>
          <cell r="X65">
            <v>119658.32398654061</v>
          </cell>
          <cell r="Y65">
            <v>119658.32398654062</v>
          </cell>
          <cell r="Z65">
            <v>31.4</v>
          </cell>
          <cell r="AA65">
            <v>2500</v>
          </cell>
        </row>
        <row r="66">
          <cell r="C66" t="str">
            <v>Pearson</v>
          </cell>
          <cell r="D66" t="str">
            <v xml:space="preserve">Chris </v>
          </cell>
          <cell r="E66" t="str">
            <v>Site Head Ongar + Function Head Chemistry</v>
          </cell>
          <cell r="F66">
            <v>1959</v>
          </cell>
          <cell r="G66" t="str">
            <v>COO</v>
          </cell>
          <cell r="H66" t="str">
            <v>Innovation</v>
          </cell>
          <cell r="I66" t="str">
            <v>Local</v>
          </cell>
          <cell r="J66" t="str">
            <v>UK</v>
          </cell>
          <cell r="K66">
            <v>0</v>
          </cell>
          <cell r="L66" t="str">
            <v>Wengenmayer</v>
          </cell>
          <cell r="M66" t="str">
            <v>Leroux</v>
          </cell>
          <cell r="N66">
            <v>1358</v>
          </cell>
          <cell r="O66" t="str">
            <v>GBP</v>
          </cell>
          <cell r="P66" t="str">
            <v>GBP</v>
          </cell>
          <cell r="Q66" t="e">
            <v>#REF!</v>
          </cell>
          <cell r="R66">
            <v>110482.29450408589</v>
          </cell>
          <cell r="S66">
            <v>68952</v>
          </cell>
          <cell r="T66">
            <v>2</v>
          </cell>
          <cell r="U66">
            <v>35</v>
          </cell>
          <cell r="V66">
            <v>24133.200000000001</v>
          </cell>
          <cell r="W66">
            <v>93085.2</v>
          </cell>
          <cell r="X66">
            <v>149151.09758051595</v>
          </cell>
          <cell r="Y66">
            <v>149151.09758051595</v>
          </cell>
          <cell r="Z66">
            <v>9.3000000000000007</v>
          </cell>
          <cell r="AA66">
            <v>2600</v>
          </cell>
        </row>
        <row r="67">
          <cell r="C67" t="str">
            <v xml:space="preserve">Pointon </v>
          </cell>
          <cell r="D67" t="str">
            <v>Mike</v>
          </cell>
          <cell r="E67" t="str">
            <v>GPTL</v>
          </cell>
          <cell r="F67">
            <v>1960</v>
          </cell>
          <cell r="G67" t="str">
            <v>COO</v>
          </cell>
          <cell r="H67" t="str">
            <v>CPPM</v>
          </cell>
          <cell r="I67" t="str">
            <v>Expat</v>
          </cell>
          <cell r="J67" t="str">
            <v>Australia</v>
          </cell>
          <cell r="K67" t="str">
            <v>France</v>
          </cell>
          <cell r="L67" t="str">
            <v>Howard</v>
          </cell>
          <cell r="M67" t="str">
            <v>Zirakparvar</v>
          </cell>
          <cell r="N67">
            <v>1232</v>
          </cell>
          <cell r="O67" t="str">
            <v>AUD</v>
          </cell>
          <cell r="P67" t="str">
            <v>AUD</v>
          </cell>
          <cell r="Q67" t="e">
            <v>#REF!</v>
          </cell>
          <cell r="R67">
            <v>66556.946929039957</v>
          </cell>
          <cell r="S67">
            <v>111616</v>
          </cell>
          <cell r="T67">
            <v>9</v>
          </cell>
          <cell r="U67">
            <v>35</v>
          </cell>
          <cell r="V67">
            <v>39065.599999999999</v>
          </cell>
          <cell r="W67">
            <v>150681.60000000001</v>
          </cell>
          <cell r="X67">
            <v>89851.878354203931</v>
          </cell>
          <cell r="Y67">
            <v>89851.878354203945</v>
          </cell>
          <cell r="Z67">
            <v>28</v>
          </cell>
          <cell r="AA67">
            <v>2000</v>
          </cell>
        </row>
        <row r="68">
          <cell r="C68" t="str">
            <v>Ramesh</v>
          </cell>
          <cell r="D68" t="str">
            <v>Mahalingan</v>
          </cell>
          <cell r="E68" t="str">
            <v>F&amp;A US</v>
          </cell>
          <cell r="F68">
            <v>1956</v>
          </cell>
          <cell r="G68" t="str">
            <v>COO</v>
          </cell>
          <cell r="H68" t="str">
            <v>USA</v>
          </cell>
          <cell r="I68" t="str">
            <v>Expat</v>
          </cell>
          <cell r="J68" t="str">
            <v>India</v>
          </cell>
          <cell r="K68" t="str">
            <v>USA</v>
          </cell>
          <cell r="L68" t="str">
            <v>Delage</v>
          </cell>
          <cell r="M68" t="str">
            <v>Méheut</v>
          </cell>
          <cell r="N68">
            <v>1358</v>
          </cell>
          <cell r="O68" t="str">
            <v>USD</v>
          </cell>
          <cell r="P68" t="str">
            <v>USD</v>
          </cell>
          <cell r="Q68">
            <v>0</v>
          </cell>
          <cell r="R68">
            <v>78882.321332616877</v>
          </cell>
          <cell r="S68">
            <v>73400</v>
          </cell>
          <cell r="T68" t="str">
            <v>_</v>
          </cell>
          <cell r="U68">
            <v>35</v>
          </cell>
          <cell r="V68">
            <v>25690</v>
          </cell>
          <cell r="W68">
            <v>99090</v>
          </cell>
          <cell r="X68">
            <v>106491.13379903277</v>
          </cell>
          <cell r="Y68">
            <v>106491.13379903279</v>
          </cell>
          <cell r="Z68" t="str">
            <v>_</v>
          </cell>
          <cell r="AA68">
            <v>2600</v>
          </cell>
          <cell r="AB68" t="str">
            <v>paid in USD on Indian market</v>
          </cell>
        </row>
        <row r="69">
          <cell r="C69" t="str">
            <v>Rando</v>
          </cell>
          <cell r="D69" t="str">
            <v>Joao</v>
          </cell>
          <cell r="E69" t="str">
            <v>Project SAP</v>
          </cell>
          <cell r="F69">
            <v>1949</v>
          </cell>
          <cell r="G69" t="str">
            <v>COO</v>
          </cell>
          <cell r="H69" t="str">
            <v>IT</v>
          </cell>
          <cell r="I69" t="str">
            <v>Expat</v>
          </cell>
          <cell r="J69" t="str">
            <v>Brazil</v>
          </cell>
          <cell r="K69" t="str">
            <v>France</v>
          </cell>
          <cell r="L69" t="str">
            <v>Rashid</v>
          </cell>
          <cell r="M69" t="str">
            <v>Méheut</v>
          </cell>
          <cell r="N69">
            <v>1486</v>
          </cell>
          <cell r="O69" t="str">
            <v>BRL</v>
          </cell>
          <cell r="P69" t="str">
            <v>BRL</v>
          </cell>
          <cell r="Q69" t="e">
            <v>#REF!</v>
          </cell>
          <cell r="R69">
            <v>110179.11270322403</v>
          </cell>
          <cell r="S69">
            <v>199920</v>
          </cell>
          <cell r="T69">
            <v>5</v>
          </cell>
          <cell r="U69">
            <v>35</v>
          </cell>
          <cell r="V69">
            <v>69972</v>
          </cell>
          <cell r="W69">
            <v>269892</v>
          </cell>
          <cell r="X69">
            <v>148741.80214935244</v>
          </cell>
          <cell r="Y69">
            <v>148741.80214935244</v>
          </cell>
          <cell r="Z69">
            <v>9</v>
          </cell>
          <cell r="AA69">
            <v>3000</v>
          </cell>
        </row>
        <row r="70">
          <cell r="C70" t="str">
            <v>Rashid</v>
          </cell>
          <cell r="D70" t="str">
            <v>Haider</v>
          </cell>
          <cell r="E70" t="str">
            <v>IT</v>
          </cell>
          <cell r="F70">
            <v>1959</v>
          </cell>
          <cell r="G70" t="str">
            <v>COO</v>
          </cell>
          <cell r="H70" t="str">
            <v>IT</v>
          </cell>
          <cell r="I70" t="str">
            <v>Local</v>
          </cell>
          <cell r="J70" t="str">
            <v>France</v>
          </cell>
          <cell r="K70">
            <v>0</v>
          </cell>
          <cell r="L70" t="str">
            <v>Méheut</v>
          </cell>
          <cell r="M70" t="str">
            <v>Godard</v>
          </cell>
          <cell r="N70">
            <v>2260</v>
          </cell>
          <cell r="O70" t="str">
            <v>FRF</v>
          </cell>
          <cell r="P70" t="str">
            <v>FRF</v>
          </cell>
          <cell r="Q70">
            <v>0</v>
          </cell>
          <cell r="R70">
            <v>160071.4680992809</v>
          </cell>
          <cell r="S70">
            <v>1050000</v>
          </cell>
          <cell r="T70" t="str">
            <v>?</v>
          </cell>
          <cell r="U70">
            <v>50</v>
          </cell>
          <cell r="V70">
            <v>525000</v>
          </cell>
          <cell r="W70">
            <v>1575000</v>
          </cell>
          <cell r="X70">
            <v>240107.20214892135</v>
          </cell>
          <cell r="Y70">
            <v>240107.20214892135</v>
          </cell>
          <cell r="Z70" t="str">
            <v>?</v>
          </cell>
          <cell r="AA70">
            <v>0</v>
          </cell>
          <cell r="AB70" t="str">
            <v>M Chavanon / Evaluation estimée : milieu de A1</v>
          </cell>
        </row>
        <row r="71">
          <cell r="C71" t="str">
            <v xml:space="preserve">Régent </v>
          </cell>
          <cell r="D71" t="str">
            <v>Alain</v>
          </cell>
          <cell r="E71" t="str">
            <v>Purchasing</v>
          </cell>
          <cell r="F71">
            <v>1942</v>
          </cell>
          <cell r="G71" t="str">
            <v>COO</v>
          </cell>
          <cell r="H71" t="str">
            <v>Purchasing</v>
          </cell>
          <cell r="I71" t="str">
            <v>Local</v>
          </cell>
          <cell r="J71" t="str">
            <v>France</v>
          </cell>
          <cell r="K71">
            <v>0</v>
          </cell>
          <cell r="L71" t="str">
            <v>Méheut</v>
          </cell>
          <cell r="M71" t="str">
            <v>Godard</v>
          </cell>
          <cell r="N71">
            <v>1418</v>
          </cell>
          <cell r="O71" t="str">
            <v>FRF</v>
          </cell>
          <cell r="P71" t="str">
            <v>FRF</v>
          </cell>
          <cell r="Q71" t="e">
            <v>#REF!</v>
          </cell>
          <cell r="R71">
            <v>147723.09770305065</v>
          </cell>
          <cell r="S71">
            <v>969000</v>
          </cell>
          <cell r="T71">
            <v>2</v>
          </cell>
          <cell r="U71">
            <v>35</v>
          </cell>
          <cell r="V71">
            <v>339150</v>
          </cell>
          <cell r="W71">
            <v>1308150</v>
          </cell>
          <cell r="X71">
            <v>199426.18189911838</v>
          </cell>
          <cell r="Y71">
            <v>199426.18189911838</v>
          </cell>
          <cell r="Z71">
            <v>5.9</v>
          </cell>
          <cell r="AA71">
            <v>4000</v>
          </cell>
        </row>
        <row r="72">
          <cell r="C72" t="str">
            <v>Remijnse</v>
          </cell>
          <cell r="D72" t="str">
            <v>Ko</v>
          </cell>
          <cell r="E72" t="str">
            <v>Vegetable Seeds / Operations MEA (Nunza)</v>
          </cell>
          <cell r="F72">
            <v>0</v>
          </cell>
          <cell r="G72" t="str">
            <v>Biotech</v>
          </cell>
          <cell r="H72">
            <v>0</v>
          </cell>
          <cell r="I72" t="str">
            <v>Local</v>
          </cell>
          <cell r="J72" t="str">
            <v>Netherlands</v>
          </cell>
          <cell r="K72">
            <v>0</v>
          </cell>
          <cell r="L72" t="str">
            <v>Lange</v>
          </cell>
          <cell r="M72" t="str">
            <v>Morgan</v>
          </cell>
          <cell r="N72">
            <v>1292</v>
          </cell>
          <cell r="O72" t="str">
            <v>NLG</v>
          </cell>
          <cell r="P72" t="str">
            <v>NLG</v>
          </cell>
          <cell r="Q72" t="e">
            <v>#REF!</v>
          </cell>
          <cell r="R72">
            <v>113304.89492719097</v>
          </cell>
          <cell r="S72">
            <v>249691.13</v>
          </cell>
          <cell r="T72">
            <v>5.8</v>
          </cell>
          <cell r="U72">
            <v>35</v>
          </cell>
          <cell r="V72">
            <v>87391.895500000013</v>
          </cell>
          <cell r="W72">
            <v>337083.02549999999</v>
          </cell>
          <cell r="X72">
            <v>152961.6081517078</v>
          </cell>
          <cell r="Y72">
            <v>152961.60815170783</v>
          </cell>
          <cell r="Z72">
            <v>9.9</v>
          </cell>
          <cell r="AA72">
            <v>2600</v>
          </cell>
        </row>
        <row r="73">
          <cell r="C73" t="str">
            <v xml:space="preserve">Richard </v>
          </cell>
          <cell r="D73" t="str">
            <v>Robert</v>
          </cell>
          <cell r="E73" t="str">
            <v>GPTL</v>
          </cell>
          <cell r="F73">
            <v>1943</v>
          </cell>
          <cell r="G73" t="str">
            <v>COO</v>
          </cell>
          <cell r="H73" t="str">
            <v>CPPM</v>
          </cell>
          <cell r="I73" t="str">
            <v>Local</v>
          </cell>
          <cell r="J73" t="str">
            <v>France</v>
          </cell>
          <cell r="K73">
            <v>0</v>
          </cell>
          <cell r="L73" t="str">
            <v>Kneen</v>
          </cell>
          <cell r="M73" t="str">
            <v>Zirakparvar</v>
          </cell>
          <cell r="N73">
            <v>1232</v>
          </cell>
          <cell r="O73" t="str">
            <v>FRF</v>
          </cell>
          <cell r="P73" t="str">
            <v>FRF</v>
          </cell>
          <cell r="Q73" t="e">
            <v>#REF!</v>
          </cell>
          <cell r="R73">
            <v>98841.693891520335</v>
          </cell>
          <cell r="S73">
            <v>648359.01</v>
          </cell>
          <cell r="T73">
            <v>7</v>
          </cell>
          <cell r="U73">
            <v>35</v>
          </cell>
          <cell r="V73">
            <v>226925.65350000001</v>
          </cell>
          <cell r="W73">
            <v>875284.66350000002</v>
          </cell>
          <cell r="X73">
            <v>133436.28675355244</v>
          </cell>
          <cell r="Y73">
            <v>133436.28675355247</v>
          </cell>
          <cell r="Z73">
            <v>20.399999999999999</v>
          </cell>
          <cell r="AA73">
            <v>2000</v>
          </cell>
        </row>
        <row r="74">
          <cell r="B74" t="str">
            <v>R&amp;D</v>
          </cell>
          <cell r="C74" t="str">
            <v>Richer</v>
          </cell>
          <cell r="D74" t="str">
            <v>David</v>
          </cell>
          <cell r="E74" t="str">
            <v>Head of Intellectual Property</v>
          </cell>
          <cell r="F74">
            <v>0</v>
          </cell>
          <cell r="G74" t="str">
            <v>COO</v>
          </cell>
          <cell r="H74" t="str">
            <v>Innovation</v>
          </cell>
          <cell r="I74" t="str">
            <v>Local</v>
          </cell>
          <cell r="J74" t="str">
            <v>UK</v>
          </cell>
          <cell r="K74">
            <v>0</v>
          </cell>
          <cell r="L74" t="str">
            <v>Leroux</v>
          </cell>
          <cell r="M74" t="str">
            <v>Méheut</v>
          </cell>
          <cell r="N74">
            <v>1560</v>
          </cell>
          <cell r="O74" t="str">
            <v>GBP</v>
          </cell>
          <cell r="P74" t="str">
            <v>GBP R&amp;D</v>
          </cell>
          <cell r="Q74" t="e">
            <v>#REF!</v>
          </cell>
          <cell r="R74">
            <v>139910.91171286651</v>
          </cell>
          <cell r="S74">
            <v>87318.399999999994</v>
          </cell>
          <cell r="T74">
            <v>4</v>
          </cell>
          <cell r="U74">
            <v>35</v>
          </cell>
          <cell r="V74">
            <v>30561.439999999999</v>
          </cell>
          <cell r="W74">
            <v>117879.84</v>
          </cell>
          <cell r="X74">
            <v>188879.73081236982</v>
          </cell>
          <cell r="Y74">
            <v>188879.73081236979</v>
          </cell>
          <cell r="Z74">
            <v>17</v>
          </cell>
          <cell r="AA74">
            <v>0</v>
          </cell>
        </row>
        <row r="75">
          <cell r="C75" t="str">
            <v xml:space="preserve">Rojas </v>
          </cell>
          <cell r="D75" t="str">
            <v>Cesar</v>
          </cell>
          <cell r="E75" t="str">
            <v>Country Manager Brazil</v>
          </cell>
          <cell r="F75">
            <v>1955</v>
          </cell>
          <cell r="G75" t="str">
            <v>COO</v>
          </cell>
          <cell r="H75" t="str">
            <v>Brazil</v>
          </cell>
          <cell r="I75" t="str">
            <v>Expat</v>
          </cell>
          <cell r="J75" t="str">
            <v>Peru</v>
          </cell>
          <cell r="K75" t="str">
            <v>Brazil</v>
          </cell>
          <cell r="L75" t="str">
            <v>Méheut</v>
          </cell>
          <cell r="M75" t="str">
            <v>Godard</v>
          </cell>
          <cell r="N75">
            <v>1708</v>
          </cell>
          <cell r="O75" t="str">
            <v>USD</v>
          </cell>
          <cell r="P75" t="str">
            <v>USD</v>
          </cell>
          <cell r="Q75" t="e">
            <v>#REF!</v>
          </cell>
          <cell r="R75">
            <v>199505.64212788822</v>
          </cell>
          <cell r="S75">
            <v>185640</v>
          </cell>
          <cell r="T75">
            <v>2</v>
          </cell>
          <cell r="U75">
            <v>40</v>
          </cell>
          <cell r="V75">
            <v>74256</v>
          </cell>
          <cell r="W75">
            <v>259896</v>
          </cell>
          <cell r="X75">
            <v>279307.89897904353</v>
          </cell>
          <cell r="Y75">
            <v>279307.89897904347</v>
          </cell>
          <cell r="Z75">
            <v>9.8000000000000007</v>
          </cell>
          <cell r="AA75">
            <v>10000</v>
          </cell>
        </row>
        <row r="76">
          <cell r="C76" t="str">
            <v>Rouffet</v>
          </cell>
          <cell r="D76" t="str">
            <v>Jean-Pierre</v>
          </cell>
          <cell r="E76" t="str">
            <v>Purchasing</v>
          </cell>
          <cell r="F76">
            <v>1956</v>
          </cell>
          <cell r="G76" t="str">
            <v>COO</v>
          </cell>
          <cell r="H76" t="str">
            <v>Purchasing</v>
          </cell>
          <cell r="I76" t="str">
            <v>Expat</v>
          </cell>
          <cell r="J76" t="str">
            <v>France</v>
          </cell>
          <cell r="K76" t="str">
            <v>Chine</v>
          </cell>
          <cell r="L76" t="str">
            <v>Régent</v>
          </cell>
          <cell r="M76" t="str">
            <v>Méheut</v>
          </cell>
          <cell r="N76">
            <v>1418</v>
          </cell>
          <cell r="O76" t="str">
            <v>FRF</v>
          </cell>
          <cell r="P76" t="str">
            <v>FRF</v>
          </cell>
          <cell r="Q76">
            <v>0</v>
          </cell>
          <cell r="R76">
            <v>91469.410342446223</v>
          </cell>
          <cell r="S76">
            <v>600000</v>
          </cell>
          <cell r="T76">
            <v>0</v>
          </cell>
          <cell r="U76">
            <v>35</v>
          </cell>
          <cell r="V76">
            <v>210000</v>
          </cell>
          <cell r="W76">
            <v>810000</v>
          </cell>
          <cell r="X76">
            <v>123483.7039623024</v>
          </cell>
          <cell r="Y76">
            <v>123483.7039623024</v>
          </cell>
          <cell r="Z76">
            <v>14</v>
          </cell>
          <cell r="AA76">
            <v>2000</v>
          </cell>
          <cell r="AB76" t="str">
            <v>A gérer sur la base de l'évaluation d'A Régent</v>
          </cell>
        </row>
        <row r="77">
          <cell r="C77" t="str">
            <v xml:space="preserve">Santini </v>
          </cell>
          <cell r="D77" t="str">
            <v>Georges</v>
          </cell>
          <cell r="E77" t="str">
            <v>Internal Communication &amp; Coaching</v>
          </cell>
          <cell r="F77">
            <v>1948</v>
          </cell>
          <cell r="G77" t="str">
            <v>Communication</v>
          </cell>
          <cell r="H77">
            <v>0</v>
          </cell>
          <cell r="I77" t="str">
            <v>Local</v>
          </cell>
          <cell r="J77" t="str">
            <v>France</v>
          </cell>
          <cell r="K77">
            <v>0</v>
          </cell>
          <cell r="L77" t="str">
            <v>Zimmermann</v>
          </cell>
          <cell r="M77" t="str">
            <v>Godard</v>
          </cell>
          <cell r="N77">
            <v>1560</v>
          </cell>
          <cell r="O77" t="str">
            <v>FRF</v>
          </cell>
          <cell r="P77" t="str">
            <v>FRF</v>
          </cell>
          <cell r="Q77" t="e">
            <v>#REF!</v>
          </cell>
          <cell r="R77">
            <v>115251.45703148225</v>
          </cell>
          <cell r="S77">
            <v>756000</v>
          </cell>
          <cell r="T77">
            <v>8</v>
          </cell>
          <cell r="U77">
            <v>35</v>
          </cell>
          <cell r="V77">
            <v>264600</v>
          </cell>
          <cell r="W77">
            <v>1020600</v>
          </cell>
          <cell r="X77">
            <v>155589.46699250102</v>
          </cell>
          <cell r="Y77">
            <v>155589.46699250105</v>
          </cell>
          <cell r="Z77">
            <v>16.600000000000001</v>
          </cell>
          <cell r="AA77">
            <v>2500</v>
          </cell>
        </row>
        <row r="78">
          <cell r="C78" t="str">
            <v xml:space="preserve">Schaub </v>
          </cell>
          <cell r="D78" t="str">
            <v>Rüdiger</v>
          </cell>
          <cell r="E78" t="str">
            <v>GPTL</v>
          </cell>
          <cell r="F78">
            <v>0</v>
          </cell>
          <cell r="G78" t="str">
            <v>COO</v>
          </cell>
          <cell r="H78" t="str">
            <v>CPPM</v>
          </cell>
          <cell r="I78" t="str">
            <v>Delegate</v>
          </cell>
          <cell r="J78" t="str">
            <v>Germany</v>
          </cell>
          <cell r="K78" t="str">
            <v>France</v>
          </cell>
          <cell r="L78" t="str">
            <v>Bonnafoux</v>
          </cell>
          <cell r="M78" t="str">
            <v>Zirakparvar</v>
          </cell>
          <cell r="N78">
            <v>1232</v>
          </cell>
          <cell r="O78" t="str">
            <v>FRF</v>
          </cell>
          <cell r="P78" t="str">
            <v>FRF</v>
          </cell>
          <cell r="Q78" t="e">
            <v>#REF!</v>
          </cell>
          <cell r="R78">
            <v>94987.171415199467</v>
          </cell>
          <cell r="S78">
            <v>623075</v>
          </cell>
          <cell r="T78">
            <v>7</v>
          </cell>
          <cell r="U78">
            <v>35</v>
          </cell>
          <cell r="V78">
            <v>218076.25</v>
          </cell>
          <cell r="W78">
            <v>841151.25</v>
          </cell>
          <cell r="X78">
            <v>128232.68141051929</v>
          </cell>
          <cell r="Y78">
            <v>128232.68141051929</v>
          </cell>
          <cell r="Z78">
            <v>21.2</v>
          </cell>
          <cell r="AA78">
            <v>2000</v>
          </cell>
        </row>
        <row r="79">
          <cell r="C79" t="str">
            <v>Schiavinato</v>
          </cell>
          <cell r="D79" t="str">
            <v>Gilberto</v>
          </cell>
          <cell r="E79" t="str">
            <v>Country Manager Argentina</v>
          </cell>
          <cell r="F79">
            <v>1958</v>
          </cell>
          <cell r="G79" t="str">
            <v>COO</v>
          </cell>
          <cell r="H79" t="str">
            <v>Brazil</v>
          </cell>
          <cell r="I79" t="str">
            <v>Expat</v>
          </cell>
          <cell r="J79" t="str">
            <v>Brazil</v>
          </cell>
          <cell r="K79" t="str">
            <v>Argentina</v>
          </cell>
          <cell r="L79" t="str">
            <v>Rojas</v>
          </cell>
          <cell r="M79" t="str">
            <v>Méheut</v>
          </cell>
          <cell r="N79">
            <v>1486</v>
          </cell>
          <cell r="O79" t="str">
            <v>BRL</v>
          </cell>
          <cell r="P79" t="str">
            <v>BRL</v>
          </cell>
          <cell r="Q79" t="e">
            <v>#REF!</v>
          </cell>
          <cell r="R79">
            <v>95894.18572609534</v>
          </cell>
          <cell r="S79">
            <v>174000</v>
          </cell>
          <cell r="T79">
            <v>8.8000000000000007</v>
          </cell>
          <cell r="U79">
            <v>35</v>
          </cell>
          <cell r="V79">
            <v>60900</v>
          </cell>
          <cell r="W79">
            <v>234900</v>
          </cell>
          <cell r="X79">
            <v>129457.15073022871</v>
          </cell>
          <cell r="Y79">
            <v>129457.15073022872</v>
          </cell>
          <cell r="Z79">
            <v>0</v>
          </cell>
          <cell r="AA79">
            <v>2000</v>
          </cell>
          <cell r="AB79" t="str">
            <v>Proposal JCY 213280 as of 01,01,01; bonus 2000 = 30%</v>
          </cell>
        </row>
        <row r="80">
          <cell r="C80" t="str">
            <v xml:space="preserve">Schikowski </v>
          </cell>
          <cell r="D80" t="str">
            <v>Ken</v>
          </cell>
          <cell r="E80" t="str">
            <v>Integration NA</v>
          </cell>
          <cell r="F80">
            <v>0</v>
          </cell>
          <cell r="G80" t="str">
            <v>COO</v>
          </cell>
          <cell r="H80" t="str">
            <v>USA</v>
          </cell>
          <cell r="I80" t="str">
            <v>Local</v>
          </cell>
          <cell r="J80" t="str">
            <v>Canada</v>
          </cell>
          <cell r="K80">
            <v>0</v>
          </cell>
          <cell r="L80" t="str">
            <v>Delage</v>
          </cell>
          <cell r="M80" t="str">
            <v>Méheut</v>
          </cell>
          <cell r="N80">
            <v>1400</v>
          </cell>
          <cell r="O80" t="str">
            <v>CAD</v>
          </cell>
          <cell r="P80" t="str">
            <v>CAD</v>
          </cell>
          <cell r="Q80" t="e">
            <v>#REF!</v>
          </cell>
          <cell r="R80">
            <v>133251.51450053704</v>
          </cell>
          <cell r="S80">
            <v>186085.74</v>
          </cell>
          <cell r="T80">
            <v>2</v>
          </cell>
          <cell r="U80">
            <v>35</v>
          </cell>
          <cell r="V80">
            <v>65130.008999999991</v>
          </cell>
          <cell r="W80">
            <v>251215.74899999998</v>
          </cell>
          <cell r="X80">
            <v>179889.54457572501</v>
          </cell>
          <cell r="Y80">
            <v>179889.54457572501</v>
          </cell>
          <cell r="Z80">
            <v>5.9</v>
          </cell>
          <cell r="AA80">
            <v>3000</v>
          </cell>
        </row>
        <row r="81">
          <cell r="C81" t="str">
            <v xml:space="preserve">Schreiber </v>
          </cell>
          <cell r="D81" t="str">
            <v>Bernhard</v>
          </cell>
          <cell r="E81" t="str">
            <v>GPTL</v>
          </cell>
          <cell r="F81">
            <v>1951</v>
          </cell>
          <cell r="G81" t="str">
            <v>COO</v>
          </cell>
          <cell r="H81" t="str">
            <v>CPPM</v>
          </cell>
          <cell r="I81" t="str">
            <v>Delegate</v>
          </cell>
          <cell r="J81" t="str">
            <v>Germany</v>
          </cell>
          <cell r="K81" t="str">
            <v>France</v>
          </cell>
          <cell r="L81" t="str">
            <v>Howard</v>
          </cell>
          <cell r="M81" t="str">
            <v>Zirakparvar</v>
          </cell>
          <cell r="N81">
            <v>1232</v>
          </cell>
          <cell r="O81" t="str">
            <v>FRF</v>
          </cell>
          <cell r="P81" t="str">
            <v>FRF</v>
          </cell>
          <cell r="Q81" t="e">
            <v>#REF!</v>
          </cell>
          <cell r="R81">
            <v>106529.54385729553</v>
          </cell>
          <cell r="S81">
            <v>698788</v>
          </cell>
          <cell r="T81">
            <v>6</v>
          </cell>
          <cell r="U81">
            <v>35</v>
          </cell>
          <cell r="V81">
            <v>244575.8</v>
          </cell>
          <cell r="W81">
            <v>943363.8</v>
          </cell>
          <cell r="X81">
            <v>143814.88420734898</v>
          </cell>
          <cell r="Y81">
            <v>143814.88420734898</v>
          </cell>
          <cell r="Z81">
            <v>14.5</v>
          </cell>
          <cell r="AA81">
            <v>2000</v>
          </cell>
        </row>
        <row r="82">
          <cell r="B82" t="str">
            <v>R&amp;D</v>
          </cell>
          <cell r="C82" t="str">
            <v>Schulz</v>
          </cell>
          <cell r="D82" t="str">
            <v>Arno</v>
          </cell>
          <cell r="E82" t="str">
            <v>Function Head Biochemistry / Herbicides + Biochemistry coordination</v>
          </cell>
          <cell r="F82">
            <v>0</v>
          </cell>
          <cell r="G82" t="str">
            <v>COO</v>
          </cell>
          <cell r="H82" t="str">
            <v>Innovation</v>
          </cell>
          <cell r="I82" t="str">
            <v>Local</v>
          </cell>
          <cell r="J82" t="str">
            <v>Germany</v>
          </cell>
          <cell r="K82">
            <v>0</v>
          </cell>
          <cell r="L82" t="str">
            <v>Wengenmayer</v>
          </cell>
          <cell r="M82" t="str">
            <v>Leroux</v>
          </cell>
          <cell r="N82">
            <v>1232</v>
          </cell>
          <cell r="O82" t="str">
            <v>DEM</v>
          </cell>
          <cell r="P82" t="str">
            <v>DEM R&amp;D</v>
          </cell>
          <cell r="Q82" t="e">
            <v>#REF!</v>
          </cell>
          <cell r="R82">
            <v>90338.884258856851</v>
          </cell>
          <cell r="S82">
            <v>176687.5</v>
          </cell>
          <cell r="T82">
            <v>10</v>
          </cell>
          <cell r="U82">
            <v>35</v>
          </cell>
          <cell r="V82">
            <v>61840.625</v>
          </cell>
          <cell r="W82">
            <v>238528.125</v>
          </cell>
          <cell r="X82">
            <v>121957.49374945676</v>
          </cell>
          <cell r="Y82">
            <v>121957.49374945676</v>
          </cell>
          <cell r="Z82">
            <v>29.1</v>
          </cell>
          <cell r="AA82">
            <v>2500</v>
          </cell>
        </row>
        <row r="83">
          <cell r="C83" t="str">
            <v>Schwab</v>
          </cell>
          <cell r="D83" t="str">
            <v>Brian</v>
          </cell>
          <cell r="E83" t="str">
            <v>Corporate Legal Affairs</v>
          </cell>
          <cell r="F83">
            <v>1964</v>
          </cell>
          <cell r="G83" t="str">
            <v>Legal</v>
          </cell>
          <cell r="H83">
            <v>0</v>
          </cell>
          <cell r="I83" t="str">
            <v>Local</v>
          </cell>
          <cell r="J83" t="str">
            <v>France</v>
          </cell>
          <cell r="K83">
            <v>0</v>
          </cell>
          <cell r="L83" t="str">
            <v>Murgue</v>
          </cell>
          <cell r="M83" t="str">
            <v>Godard</v>
          </cell>
          <cell r="N83">
            <v>1358</v>
          </cell>
          <cell r="O83" t="str">
            <v>FRF</v>
          </cell>
          <cell r="P83" t="str">
            <v>FRF</v>
          </cell>
          <cell r="Q83" t="e">
            <v>#REF!</v>
          </cell>
          <cell r="R83">
            <v>100000.07622450862</v>
          </cell>
          <cell r="S83">
            <v>655957.5</v>
          </cell>
          <cell r="T83">
            <v>19.3</v>
          </cell>
          <cell r="U83">
            <v>35</v>
          </cell>
          <cell r="V83">
            <v>229585.125</v>
          </cell>
          <cell r="W83">
            <v>885542.625</v>
          </cell>
          <cell r="X83">
            <v>135000.10290308663</v>
          </cell>
          <cell r="Y83">
            <v>135000.10290308666</v>
          </cell>
          <cell r="Z83">
            <v>40</v>
          </cell>
          <cell r="AA83">
            <v>3300</v>
          </cell>
        </row>
        <row r="84">
          <cell r="C84" t="str">
            <v>Schweers</v>
          </cell>
          <cell r="D84" t="str">
            <v>Hugo</v>
          </cell>
          <cell r="E84" t="str">
            <v>Country Manager Germany</v>
          </cell>
          <cell r="F84">
            <v>1957</v>
          </cell>
          <cell r="G84" t="str">
            <v>COO</v>
          </cell>
          <cell r="H84" t="str">
            <v>Germany</v>
          </cell>
          <cell r="I84" t="str">
            <v>Local</v>
          </cell>
          <cell r="J84" t="str">
            <v>Germany</v>
          </cell>
          <cell r="K84">
            <v>0</v>
          </cell>
          <cell r="L84" t="str">
            <v>Méheut</v>
          </cell>
          <cell r="M84" t="str">
            <v>Godard</v>
          </cell>
          <cell r="N84">
            <v>1960</v>
          </cell>
          <cell r="O84" t="str">
            <v>DEM</v>
          </cell>
          <cell r="P84" t="str">
            <v>DEM</v>
          </cell>
          <cell r="Q84" t="e">
            <v>#REF!</v>
          </cell>
          <cell r="R84">
            <v>179719.0962404708</v>
          </cell>
          <cell r="S84">
            <v>351500</v>
          </cell>
          <cell r="T84">
            <v>-5</v>
          </cell>
          <cell r="U84">
            <v>40</v>
          </cell>
          <cell r="V84">
            <v>140600</v>
          </cell>
          <cell r="W84">
            <v>492100</v>
          </cell>
          <cell r="X84">
            <v>251606.73473665913</v>
          </cell>
          <cell r="Y84">
            <v>251606.7347366591</v>
          </cell>
          <cell r="Z84">
            <v>2.2999999999999998</v>
          </cell>
          <cell r="AA84">
            <v>10000</v>
          </cell>
        </row>
        <row r="85">
          <cell r="C85" t="str">
            <v>Sharek</v>
          </cell>
          <cell r="D85" t="str">
            <v>Nabil</v>
          </cell>
          <cell r="E85" t="str">
            <v>Regulatory / Product Stewardship</v>
          </cell>
          <cell r="F85">
            <v>1942</v>
          </cell>
          <cell r="G85" t="str">
            <v>COO</v>
          </cell>
          <cell r="H85" t="str">
            <v>CPPM</v>
          </cell>
          <cell r="I85" t="str">
            <v>Seconded</v>
          </cell>
          <cell r="J85" t="str">
            <v>USA</v>
          </cell>
          <cell r="K85" t="str">
            <v>France</v>
          </cell>
          <cell r="L85" t="str">
            <v>Zirakparvar</v>
          </cell>
          <cell r="M85" t="str">
            <v>Méheut</v>
          </cell>
          <cell r="N85">
            <v>1560</v>
          </cell>
          <cell r="O85" t="str">
            <v>USD</v>
          </cell>
          <cell r="P85" t="str">
            <v>USD</v>
          </cell>
          <cell r="Q85" t="e">
            <v>#REF!</v>
          </cell>
          <cell r="R85">
            <v>186265.62063406772</v>
          </cell>
          <cell r="S85">
            <v>173320.16</v>
          </cell>
          <cell r="T85">
            <v>4</v>
          </cell>
          <cell r="U85">
            <v>35</v>
          </cell>
          <cell r="V85">
            <v>60662.056000000004</v>
          </cell>
          <cell r="W85">
            <v>233982.21600000001</v>
          </cell>
          <cell r="X85">
            <v>251458.58785599141</v>
          </cell>
          <cell r="Y85">
            <v>251458.58785599144</v>
          </cell>
          <cell r="Z85">
            <v>8</v>
          </cell>
          <cell r="AA85">
            <v>4000</v>
          </cell>
        </row>
        <row r="86">
          <cell r="C86" t="str">
            <v>Simons</v>
          </cell>
          <cell r="D86" t="str">
            <v>Gerhard</v>
          </cell>
          <cell r="E86" t="str">
            <v>LC Central America &amp; Caribbean Islands + CH Mexico</v>
          </cell>
          <cell r="F86">
            <v>0</v>
          </cell>
          <cell r="G86" t="str">
            <v>COO</v>
          </cell>
          <cell r="H86" t="str">
            <v>ACSI</v>
          </cell>
          <cell r="I86" t="str">
            <v>Expat</v>
          </cell>
          <cell r="J86" t="str">
            <v>Germany</v>
          </cell>
          <cell r="K86" t="str">
            <v>Mexico</v>
          </cell>
          <cell r="L86" t="str">
            <v>von Olfers</v>
          </cell>
          <cell r="M86" t="str">
            <v>Méheut</v>
          </cell>
          <cell r="N86">
            <v>1292</v>
          </cell>
          <cell r="O86" t="str">
            <v>DEM</v>
          </cell>
          <cell r="P86" t="str">
            <v>DEM</v>
          </cell>
          <cell r="Q86">
            <v>0</v>
          </cell>
          <cell r="R86">
            <v>102831.02314618346</v>
          </cell>
          <cell r="S86">
            <v>201120</v>
          </cell>
          <cell r="T86">
            <v>15</v>
          </cell>
          <cell r="U86">
            <v>35</v>
          </cell>
          <cell r="V86">
            <v>70392</v>
          </cell>
          <cell r="W86">
            <v>271512</v>
          </cell>
          <cell r="X86">
            <v>138821.88124734769</v>
          </cell>
          <cell r="Y86">
            <v>138821.88124734769</v>
          </cell>
          <cell r="Z86">
            <v>35</v>
          </cell>
          <cell r="AA86">
            <v>2800</v>
          </cell>
          <cell r="AB86" t="str">
            <v>Data = new salary 2001 akready reviewed.</v>
          </cell>
        </row>
        <row r="87">
          <cell r="C87" t="str">
            <v>Sjut</v>
          </cell>
          <cell r="D87" t="str">
            <v>Volker</v>
          </cell>
          <cell r="E87" t="str">
            <v>Head of ACS GMBH Germany</v>
          </cell>
          <cell r="F87">
            <v>1949</v>
          </cell>
          <cell r="G87">
            <v>0</v>
          </cell>
          <cell r="H87">
            <v>0</v>
          </cell>
          <cell r="I87" t="str">
            <v>Local</v>
          </cell>
          <cell r="J87" t="str">
            <v>Germany</v>
          </cell>
          <cell r="K87">
            <v>0</v>
          </cell>
          <cell r="L87" t="str">
            <v>Méheut</v>
          </cell>
          <cell r="M87" t="str">
            <v>Godard</v>
          </cell>
          <cell r="N87">
            <v>1628</v>
          </cell>
          <cell r="O87" t="str">
            <v>DEM</v>
          </cell>
          <cell r="P87" t="str">
            <v>DEM</v>
          </cell>
          <cell r="Q87" t="e">
            <v>#REF!</v>
          </cell>
          <cell r="R87">
            <v>128232.00380401161</v>
          </cell>
          <cell r="S87">
            <v>250800</v>
          </cell>
          <cell r="T87">
            <v>10</v>
          </cell>
          <cell r="U87">
            <v>40</v>
          </cell>
          <cell r="V87">
            <v>100320</v>
          </cell>
          <cell r="W87">
            <v>351120</v>
          </cell>
          <cell r="X87">
            <v>179524.80532561624</v>
          </cell>
          <cell r="Y87">
            <v>179524.80532561624</v>
          </cell>
          <cell r="Z87">
            <v>23.2</v>
          </cell>
          <cell r="AA87">
            <v>6000</v>
          </cell>
          <cell r="AB87" t="str">
            <v>1628 = évaluation du poste de P Henkel - évaluation précédent poste = 1936</v>
          </cell>
        </row>
        <row r="88">
          <cell r="B88" t="str">
            <v>R&amp;D</v>
          </cell>
          <cell r="C88" t="str">
            <v>Stark</v>
          </cell>
          <cell r="D88" t="str">
            <v>Herbert</v>
          </cell>
          <cell r="E88" t="str">
            <v>Function Head Chemistry / Insecticides + Chemistry coordination</v>
          </cell>
          <cell r="F88">
            <v>0</v>
          </cell>
          <cell r="G88" t="str">
            <v>COO</v>
          </cell>
          <cell r="H88" t="str">
            <v>Innovation</v>
          </cell>
          <cell r="I88" t="str">
            <v>Local</v>
          </cell>
          <cell r="J88" t="str">
            <v>Germany</v>
          </cell>
          <cell r="K88">
            <v>0</v>
          </cell>
          <cell r="L88" t="str">
            <v>Wengenmayer</v>
          </cell>
          <cell r="M88" t="str">
            <v>Leroux</v>
          </cell>
          <cell r="N88">
            <v>1232</v>
          </cell>
          <cell r="O88" t="str">
            <v>DEM</v>
          </cell>
          <cell r="P88" t="str">
            <v>DEM R&amp;D</v>
          </cell>
          <cell r="Q88" t="e">
            <v>#REF!</v>
          </cell>
          <cell r="R88">
            <v>103076.44324915764</v>
          </cell>
          <cell r="S88">
            <v>201600</v>
          </cell>
          <cell r="T88">
            <v>5</v>
          </cell>
          <cell r="U88">
            <v>35</v>
          </cell>
          <cell r="V88">
            <v>70560</v>
          </cell>
          <cell r="W88">
            <v>272160</v>
          </cell>
          <cell r="X88">
            <v>139153.19838636281</v>
          </cell>
          <cell r="Y88">
            <v>139153.19838636284</v>
          </cell>
          <cell r="Z88">
            <v>13.4</v>
          </cell>
          <cell r="AA88">
            <v>2500</v>
          </cell>
        </row>
        <row r="89">
          <cell r="C89" t="str">
            <v>Strilchuck</v>
          </cell>
          <cell r="D89" t="str">
            <v>David</v>
          </cell>
          <cell r="E89" t="str">
            <v>Country Manager Canada</v>
          </cell>
          <cell r="F89">
            <v>0</v>
          </cell>
          <cell r="G89" t="str">
            <v>COO</v>
          </cell>
          <cell r="H89" t="str">
            <v>USA</v>
          </cell>
          <cell r="I89" t="str">
            <v>Local</v>
          </cell>
          <cell r="J89" t="str">
            <v>Canada</v>
          </cell>
          <cell r="K89">
            <v>0</v>
          </cell>
          <cell r="L89" t="str">
            <v>Delage</v>
          </cell>
          <cell r="M89" t="str">
            <v>Méheut</v>
          </cell>
          <cell r="N89">
            <v>1486</v>
          </cell>
          <cell r="O89" t="str">
            <v>CAD</v>
          </cell>
          <cell r="P89" t="str">
            <v>CAD</v>
          </cell>
          <cell r="Q89" t="e">
            <v>#REF!</v>
          </cell>
          <cell r="R89">
            <v>129134.26423200859</v>
          </cell>
          <cell r="S89">
            <v>180336</v>
          </cell>
          <cell r="T89">
            <v>2</v>
          </cell>
          <cell r="U89">
            <v>35</v>
          </cell>
          <cell r="V89">
            <v>63117.599999999999</v>
          </cell>
          <cell r="W89">
            <v>243453.6</v>
          </cell>
          <cell r="X89">
            <v>174331.25671321159</v>
          </cell>
          <cell r="Y89">
            <v>174331.25671321159</v>
          </cell>
          <cell r="Z89">
            <v>5.9</v>
          </cell>
          <cell r="AA89">
            <v>3000</v>
          </cell>
        </row>
        <row r="90">
          <cell r="B90" t="str">
            <v>R&amp;D</v>
          </cell>
          <cell r="C90" t="str">
            <v>Stübler</v>
          </cell>
          <cell r="D90" t="str">
            <v>Hermann</v>
          </cell>
          <cell r="E90" t="str">
            <v>Indication leader Herbicides</v>
          </cell>
          <cell r="F90">
            <v>0</v>
          </cell>
          <cell r="G90" t="str">
            <v>COO</v>
          </cell>
          <cell r="H90" t="str">
            <v>Innovation</v>
          </cell>
          <cell r="I90" t="str">
            <v>Local</v>
          </cell>
          <cell r="J90" t="str">
            <v>Germany</v>
          </cell>
          <cell r="K90">
            <v>0</v>
          </cell>
          <cell r="L90" t="str">
            <v>Greiner</v>
          </cell>
          <cell r="M90" t="str">
            <v>Leroux</v>
          </cell>
          <cell r="N90">
            <v>1358</v>
          </cell>
          <cell r="O90" t="str">
            <v>DEM</v>
          </cell>
          <cell r="P90" t="str">
            <v>DEM R&amp;D</v>
          </cell>
          <cell r="Q90" t="e">
            <v>#REF!</v>
          </cell>
          <cell r="R90">
            <v>108672.02159696906</v>
          </cell>
          <cell r="S90">
            <v>212544</v>
          </cell>
          <cell r="T90">
            <v>8</v>
          </cell>
          <cell r="U90">
            <v>35</v>
          </cell>
          <cell r="V90">
            <v>74390.399999999994</v>
          </cell>
          <cell r="W90">
            <v>286934.40000000002</v>
          </cell>
          <cell r="X90">
            <v>146707.22915590825</v>
          </cell>
          <cell r="Y90">
            <v>146707.22915590825</v>
          </cell>
          <cell r="Z90">
            <v>16.600000000000001</v>
          </cell>
          <cell r="AA90">
            <v>3000</v>
          </cell>
        </row>
        <row r="91">
          <cell r="C91" t="str">
            <v>Sutton</v>
          </cell>
          <cell r="D91" t="str">
            <v>Terry</v>
          </cell>
          <cell r="E91" t="str">
            <v>HR USA</v>
          </cell>
          <cell r="F91">
            <v>0</v>
          </cell>
          <cell r="G91" t="str">
            <v>COO</v>
          </cell>
          <cell r="H91" t="str">
            <v>USA</v>
          </cell>
          <cell r="I91" t="str">
            <v>Local</v>
          </cell>
          <cell r="J91" t="str">
            <v>USA</v>
          </cell>
          <cell r="K91">
            <v>0</v>
          </cell>
          <cell r="L91" t="str">
            <v>Delage</v>
          </cell>
          <cell r="M91" t="str">
            <v>Méheut</v>
          </cell>
          <cell r="N91">
            <v>1262</v>
          </cell>
          <cell r="O91" t="str">
            <v>USD</v>
          </cell>
          <cell r="P91" t="str">
            <v>USD</v>
          </cell>
          <cell r="Q91" t="e">
            <v>#REF!</v>
          </cell>
          <cell r="R91">
            <v>185290.31703385277</v>
          </cell>
          <cell r="S91">
            <v>172412.64</v>
          </cell>
          <cell r="T91">
            <v>2</v>
          </cell>
          <cell r="U91">
            <v>35</v>
          </cell>
          <cell r="V91">
            <v>60344.424000000006</v>
          </cell>
          <cell r="W91">
            <v>232757.06400000001</v>
          </cell>
          <cell r="X91">
            <v>250141.92799570126</v>
          </cell>
          <cell r="Y91">
            <v>250141.92799570126</v>
          </cell>
          <cell r="Z91">
            <v>5.9</v>
          </cell>
          <cell r="AA91">
            <v>3500</v>
          </cell>
        </row>
        <row r="92">
          <cell r="C92" t="str">
            <v>Thomas</v>
          </cell>
          <cell r="D92" t="str">
            <v>Barry</v>
          </cell>
          <cell r="E92" t="str">
            <v>Technology Acceptance</v>
          </cell>
          <cell r="F92">
            <v>1942</v>
          </cell>
          <cell r="G92" t="str">
            <v>Biotech</v>
          </cell>
          <cell r="H92">
            <v>0</v>
          </cell>
          <cell r="I92" t="str">
            <v xml:space="preserve">Local </v>
          </cell>
          <cell r="J92" t="str">
            <v>UK</v>
          </cell>
          <cell r="K92">
            <v>0</v>
          </cell>
          <cell r="L92" t="str">
            <v>Zimmermann</v>
          </cell>
          <cell r="M92" t="str">
            <v>Godard</v>
          </cell>
          <cell r="N92">
            <v>1560</v>
          </cell>
          <cell r="O92" t="str">
            <v>GBP</v>
          </cell>
          <cell r="P92" t="str">
            <v>GBP</v>
          </cell>
          <cell r="Q92" t="e">
            <v>#REF!</v>
          </cell>
          <cell r="R92">
            <v>143270.69379907066</v>
          </cell>
          <cell r="S92">
            <v>89415.24</v>
          </cell>
          <cell r="T92">
            <v>6</v>
          </cell>
          <cell r="U92">
            <v>35</v>
          </cell>
          <cell r="V92">
            <v>31295.334000000003</v>
          </cell>
          <cell r="W92">
            <v>120710.57400000001</v>
          </cell>
          <cell r="X92">
            <v>193415.4366287454</v>
          </cell>
          <cell r="Y92">
            <v>193415.4366287454</v>
          </cell>
          <cell r="Z92">
            <v>14.5</v>
          </cell>
          <cell r="AA92">
            <v>2500</v>
          </cell>
          <cell r="AB92" t="str">
            <v>reste jusqu'à fin 2002</v>
          </cell>
        </row>
        <row r="93">
          <cell r="C93" t="str">
            <v xml:space="preserve">Thomas  </v>
          </cell>
          <cell r="D93" t="str">
            <v>Olivier</v>
          </cell>
          <cell r="E93" t="str">
            <v>Demand Chain</v>
          </cell>
          <cell r="F93">
            <v>1954</v>
          </cell>
          <cell r="G93" t="str">
            <v>COO</v>
          </cell>
          <cell r="H93" t="str">
            <v>CPPM</v>
          </cell>
          <cell r="I93" t="str">
            <v xml:space="preserve">Local </v>
          </cell>
          <cell r="J93" t="str">
            <v>France</v>
          </cell>
          <cell r="K93">
            <v>0</v>
          </cell>
          <cell r="L93" t="str">
            <v>Zirakparvar</v>
          </cell>
          <cell r="M93" t="str">
            <v>Méheut</v>
          </cell>
          <cell r="N93">
            <v>1418</v>
          </cell>
          <cell r="O93" t="str">
            <v>FRF</v>
          </cell>
          <cell r="P93" t="str">
            <v>FRF</v>
          </cell>
          <cell r="Q93" t="e">
            <v>#REF!</v>
          </cell>
          <cell r="R93">
            <v>102964.06624214698</v>
          </cell>
          <cell r="S93">
            <v>675400</v>
          </cell>
          <cell r="T93">
            <v>10</v>
          </cell>
          <cell r="U93">
            <v>35</v>
          </cell>
          <cell r="V93">
            <v>236390</v>
          </cell>
          <cell r="W93">
            <v>911790</v>
          </cell>
          <cell r="X93">
            <v>139001.48942689842</v>
          </cell>
          <cell r="Y93">
            <v>139001.48942689842</v>
          </cell>
          <cell r="Z93">
            <v>18.8</v>
          </cell>
          <cell r="AA93">
            <v>3000</v>
          </cell>
        </row>
        <row r="94">
          <cell r="C94" t="str">
            <v>Thormann</v>
          </cell>
          <cell r="D94" t="str">
            <v>Detlef</v>
          </cell>
          <cell r="E94" t="str">
            <v>HR Germany</v>
          </cell>
          <cell r="F94">
            <v>0</v>
          </cell>
          <cell r="G94" t="str">
            <v>??</v>
          </cell>
          <cell r="H94" t="str">
            <v>Germany</v>
          </cell>
          <cell r="I94" t="str">
            <v>Local</v>
          </cell>
          <cell r="J94" t="str">
            <v>Germany</v>
          </cell>
          <cell r="K94">
            <v>0</v>
          </cell>
          <cell r="L94" t="str">
            <v>Henkel</v>
          </cell>
          <cell r="M94" t="str">
            <v>Godard</v>
          </cell>
          <cell r="N94">
            <v>1262</v>
          </cell>
          <cell r="O94" t="str">
            <v>DEM</v>
          </cell>
          <cell r="P94" t="str">
            <v>DEM</v>
          </cell>
          <cell r="Q94" t="e">
            <v>#REF!</v>
          </cell>
          <cell r="R94">
            <v>91802.457268781029</v>
          </cell>
          <cell r="S94">
            <v>179550</v>
          </cell>
          <cell r="T94">
            <v>8</v>
          </cell>
          <cell r="U94">
            <v>35</v>
          </cell>
          <cell r="V94">
            <v>62842.5</v>
          </cell>
          <cell r="W94">
            <v>242392.5</v>
          </cell>
          <cell r="X94">
            <v>123933.31731285439</v>
          </cell>
          <cell r="Y94">
            <v>123933.3173128544</v>
          </cell>
          <cell r="Z94">
            <v>26.8</v>
          </cell>
          <cell r="AA94">
            <v>2000</v>
          </cell>
        </row>
        <row r="95">
          <cell r="C95" t="str">
            <v>Touret</v>
          </cell>
          <cell r="D95" t="str">
            <v>Harry</v>
          </cell>
          <cell r="E95" t="str">
            <v>HR</v>
          </cell>
          <cell r="F95">
            <v>1955</v>
          </cell>
          <cell r="G95" t="str">
            <v>COO</v>
          </cell>
          <cell r="H95" t="str">
            <v>HR</v>
          </cell>
          <cell r="I95" t="str">
            <v>Local</v>
          </cell>
          <cell r="J95" t="str">
            <v>France</v>
          </cell>
          <cell r="K95">
            <v>0</v>
          </cell>
          <cell r="L95" t="str">
            <v>Méheut</v>
          </cell>
          <cell r="M95" t="str">
            <v>Godard</v>
          </cell>
          <cell r="N95">
            <v>1788</v>
          </cell>
          <cell r="O95" t="str">
            <v>FRF</v>
          </cell>
          <cell r="P95" t="str">
            <v>FRF</v>
          </cell>
          <cell r="Q95" t="e">
            <v>#REF!</v>
          </cell>
          <cell r="R95">
            <v>114336.76292805778</v>
          </cell>
          <cell r="S95">
            <v>750000</v>
          </cell>
          <cell r="T95">
            <v>25</v>
          </cell>
          <cell r="U95">
            <v>40</v>
          </cell>
          <cell r="V95">
            <v>300000</v>
          </cell>
          <cell r="W95">
            <v>1050000</v>
          </cell>
          <cell r="X95">
            <v>160071.4680992809</v>
          </cell>
          <cell r="Y95">
            <v>160071.46809928087</v>
          </cell>
          <cell r="Z95">
            <v>45.8</v>
          </cell>
          <cell r="AA95">
            <v>7000</v>
          </cell>
        </row>
        <row r="96">
          <cell r="C96" t="str">
            <v>Townes</v>
          </cell>
          <cell r="D96" t="str">
            <v>Greg</v>
          </cell>
          <cell r="E96" t="str">
            <v>Head of Site Operations North America</v>
          </cell>
          <cell r="F96">
            <v>1948</v>
          </cell>
          <cell r="G96" t="str">
            <v>COO</v>
          </cell>
          <cell r="H96" t="str">
            <v>Manufacturing &amp; EHS</v>
          </cell>
          <cell r="I96" t="str">
            <v>Expat</v>
          </cell>
          <cell r="J96" t="str">
            <v>UK</v>
          </cell>
          <cell r="K96" t="str">
            <v>USA</v>
          </cell>
          <cell r="L96" t="str">
            <v>Martinet</v>
          </cell>
          <cell r="M96" t="str">
            <v>Welter</v>
          </cell>
          <cell r="N96">
            <v>1232</v>
          </cell>
          <cell r="O96" t="str">
            <v>GBP</v>
          </cell>
          <cell r="P96" t="str">
            <v>GBP</v>
          </cell>
          <cell r="Q96" t="e">
            <v>#REF!</v>
          </cell>
          <cell r="R96">
            <v>131389.20044864606</v>
          </cell>
          <cell r="S96">
            <v>82000</v>
          </cell>
          <cell r="T96">
            <v>0</v>
          </cell>
          <cell r="U96">
            <v>35</v>
          </cell>
          <cell r="V96">
            <v>28700</v>
          </cell>
          <cell r="W96">
            <v>110700</v>
          </cell>
          <cell r="X96">
            <v>177375.42060567217</v>
          </cell>
          <cell r="Y96">
            <v>177375.4206056722</v>
          </cell>
          <cell r="Z96">
            <v>7.1</v>
          </cell>
          <cell r="AA96">
            <v>2500</v>
          </cell>
        </row>
        <row r="97">
          <cell r="C97" t="str">
            <v>Trogele</v>
          </cell>
          <cell r="D97" t="str">
            <v>Bob</v>
          </cell>
          <cell r="E97" t="str">
            <v>North America Region Head</v>
          </cell>
          <cell r="F97">
            <v>0</v>
          </cell>
          <cell r="G97" t="str">
            <v>Envir</v>
          </cell>
          <cell r="H97">
            <v>0</v>
          </cell>
          <cell r="I97" t="str">
            <v>Expat</v>
          </cell>
          <cell r="J97" t="str">
            <v>Germany</v>
          </cell>
          <cell r="K97" t="str">
            <v>USA</v>
          </cell>
          <cell r="L97" t="str">
            <v>Barella</v>
          </cell>
          <cell r="M97" t="str">
            <v>Housset</v>
          </cell>
          <cell r="N97">
            <v>1486</v>
          </cell>
          <cell r="O97" t="str">
            <v>DEM</v>
          </cell>
          <cell r="P97" t="str">
            <v>DEM</v>
          </cell>
          <cell r="Q97" t="e">
            <v>#REF!</v>
          </cell>
          <cell r="R97">
            <v>110000</v>
          </cell>
          <cell r="S97">
            <v>215141.3</v>
          </cell>
          <cell r="T97">
            <v>14.9</v>
          </cell>
          <cell r="U97">
            <v>35</v>
          </cell>
          <cell r="V97">
            <v>75299.455000000002</v>
          </cell>
          <cell r="W97">
            <v>290440.755</v>
          </cell>
          <cell r="X97">
            <v>148500</v>
          </cell>
          <cell r="Y97">
            <v>148500</v>
          </cell>
          <cell r="Z97">
            <v>24.1</v>
          </cell>
          <cell r="AA97">
            <v>3000</v>
          </cell>
        </row>
        <row r="98">
          <cell r="B98" t="str">
            <v>R&amp;D</v>
          </cell>
          <cell r="C98" t="str">
            <v>Unsworth</v>
          </cell>
          <cell r="D98" t="str">
            <v>John</v>
          </cell>
          <cell r="E98" t="str">
            <v>Manager R+D France &amp; USA</v>
          </cell>
          <cell r="F98">
            <v>1947</v>
          </cell>
          <cell r="G98" t="str">
            <v>COO</v>
          </cell>
          <cell r="H98" t="str">
            <v>Innovation</v>
          </cell>
          <cell r="I98" t="str">
            <v>Seconded</v>
          </cell>
          <cell r="J98" t="str">
            <v xml:space="preserve">UK </v>
          </cell>
          <cell r="K98" t="str">
            <v>France</v>
          </cell>
          <cell r="L98" t="str">
            <v>Leroux</v>
          </cell>
          <cell r="M98" t="str">
            <v>Méheut</v>
          </cell>
          <cell r="N98">
            <v>1936</v>
          </cell>
          <cell r="O98" t="str">
            <v>GBP</v>
          </cell>
          <cell r="P98" t="str">
            <v>GBP R&amp;D</v>
          </cell>
          <cell r="Q98" t="e">
            <v>#REF!</v>
          </cell>
          <cell r="R98">
            <v>134618.42653420925</v>
          </cell>
          <cell r="S98">
            <v>84015.360000000001</v>
          </cell>
          <cell r="T98">
            <v>8</v>
          </cell>
          <cell r="U98">
            <v>40</v>
          </cell>
          <cell r="V98">
            <v>33606.144</v>
          </cell>
          <cell r="W98">
            <v>117621.504</v>
          </cell>
          <cell r="X98">
            <v>188465.79714789297</v>
          </cell>
          <cell r="Y98">
            <v>188465.79714789294</v>
          </cell>
          <cell r="Z98">
            <v>20</v>
          </cell>
          <cell r="AA98">
            <v>6000</v>
          </cell>
          <cell r="AB98" t="str">
            <v>A positionner sur le marché anglais</v>
          </cell>
        </row>
        <row r="99">
          <cell r="C99" t="str">
            <v>Van der Broek</v>
          </cell>
          <cell r="D99" t="str">
            <v>Lykele</v>
          </cell>
          <cell r="E99" t="str">
            <v>M.D. Asia Global Business Strategy</v>
          </cell>
          <cell r="F99">
            <v>0</v>
          </cell>
          <cell r="G99" t="str">
            <v>Biotech</v>
          </cell>
          <cell r="H99">
            <v>0</v>
          </cell>
          <cell r="I99" t="str">
            <v>Local</v>
          </cell>
          <cell r="J99" t="str">
            <v>Netherlands</v>
          </cell>
          <cell r="K99">
            <v>0</v>
          </cell>
          <cell r="L99" t="str">
            <v>Lange</v>
          </cell>
          <cell r="M99" t="str">
            <v>Morgan</v>
          </cell>
          <cell r="N99">
            <v>1418</v>
          </cell>
          <cell r="O99" t="str">
            <v>NLG</v>
          </cell>
          <cell r="P99" t="str">
            <v>NLG</v>
          </cell>
          <cell r="Q99" t="e">
            <v>#REF!</v>
          </cell>
          <cell r="R99">
            <v>119848.40564321076</v>
          </cell>
          <cell r="S99">
            <v>264111.13</v>
          </cell>
          <cell r="T99">
            <v>5.6</v>
          </cell>
          <cell r="U99">
            <v>35</v>
          </cell>
          <cell r="V99">
            <v>92438.895500000013</v>
          </cell>
          <cell r="W99">
            <v>356550.02549999999</v>
          </cell>
          <cell r="X99">
            <v>161795.34761833452</v>
          </cell>
          <cell r="Y99">
            <v>161795.34761833455</v>
          </cell>
          <cell r="Z99">
            <v>9.6999999999999993</v>
          </cell>
          <cell r="AA99">
            <v>3000</v>
          </cell>
        </row>
        <row r="100">
          <cell r="C100" t="str">
            <v xml:space="preserve">Van Kesteren </v>
          </cell>
          <cell r="D100" t="str">
            <v>Pieter</v>
          </cell>
          <cell r="E100" t="str">
            <v>Managing Director</v>
          </cell>
          <cell r="F100">
            <v>0</v>
          </cell>
          <cell r="G100" t="str">
            <v>Biotech</v>
          </cell>
          <cell r="H100">
            <v>0</v>
          </cell>
          <cell r="I100" t="str">
            <v>Local</v>
          </cell>
          <cell r="J100" t="str">
            <v>USA</v>
          </cell>
          <cell r="K100">
            <v>0</v>
          </cell>
          <cell r="L100" t="str">
            <v>Lange</v>
          </cell>
          <cell r="M100" t="str">
            <v>Morgan</v>
          </cell>
          <cell r="N100">
            <v>1292</v>
          </cell>
          <cell r="O100" t="str">
            <v>USD</v>
          </cell>
          <cell r="P100" t="str">
            <v>USD</v>
          </cell>
          <cell r="Q100" t="e">
            <v>#REF!</v>
          </cell>
          <cell r="R100">
            <v>219236.96937130575</v>
          </cell>
          <cell r="S100">
            <v>204000</v>
          </cell>
          <cell r="T100">
            <v>2</v>
          </cell>
          <cell r="U100">
            <v>35</v>
          </cell>
          <cell r="V100">
            <v>71400</v>
          </cell>
          <cell r="W100">
            <v>275400</v>
          </cell>
          <cell r="X100">
            <v>295969.90865126275</v>
          </cell>
          <cell r="Y100">
            <v>295969.90865126275</v>
          </cell>
          <cell r="Z100">
            <v>5.9</v>
          </cell>
          <cell r="AA100">
            <v>2500</v>
          </cell>
        </row>
        <row r="101">
          <cell r="C101" t="str">
            <v xml:space="preserve">Van Nooy </v>
          </cell>
          <cell r="D101" t="str">
            <v>Michael</v>
          </cell>
          <cell r="E101" t="str">
            <v>Formulation Strategy</v>
          </cell>
          <cell r="F101">
            <v>0</v>
          </cell>
          <cell r="G101" t="str">
            <v>COO</v>
          </cell>
          <cell r="H101" t="str">
            <v>Manufacturing &amp; EHS</v>
          </cell>
          <cell r="I101" t="str">
            <v>Delegate</v>
          </cell>
          <cell r="J101" t="str">
            <v>Germany</v>
          </cell>
          <cell r="K101" t="str">
            <v>France</v>
          </cell>
          <cell r="L101" t="str">
            <v>Welter</v>
          </cell>
          <cell r="M101" t="str">
            <v>Méheut</v>
          </cell>
          <cell r="N101">
            <v>1418</v>
          </cell>
          <cell r="O101" t="str">
            <v>FRF</v>
          </cell>
          <cell r="P101" t="str">
            <v>FRF</v>
          </cell>
          <cell r="Q101" t="e">
            <v>#REF!</v>
          </cell>
          <cell r="R101">
            <v>111999.87194282553</v>
          </cell>
          <cell r="S101">
            <v>734671</v>
          </cell>
          <cell r="T101">
            <v>21.3</v>
          </cell>
          <cell r="U101">
            <v>35</v>
          </cell>
          <cell r="V101">
            <v>257134.85</v>
          </cell>
          <cell r="W101">
            <v>991805.85</v>
          </cell>
          <cell r="X101">
            <v>151199.82712281446</v>
          </cell>
          <cell r="Y101">
            <v>151199.82712281446</v>
          </cell>
          <cell r="Z101">
            <v>31</v>
          </cell>
          <cell r="AA101">
            <v>2500</v>
          </cell>
        </row>
        <row r="102">
          <cell r="C102" t="str">
            <v>von Olfers</v>
          </cell>
          <cell r="D102" t="str">
            <v>Hans</v>
          </cell>
          <cell r="E102" t="str">
            <v>ACSI</v>
          </cell>
          <cell r="F102">
            <v>1946</v>
          </cell>
          <cell r="G102" t="str">
            <v>COO</v>
          </cell>
          <cell r="H102" t="str">
            <v>ACSI</v>
          </cell>
          <cell r="I102" t="str">
            <v>Local</v>
          </cell>
          <cell r="J102" t="str">
            <v>Germany</v>
          </cell>
          <cell r="K102">
            <v>0</v>
          </cell>
          <cell r="L102" t="str">
            <v>Méheut</v>
          </cell>
          <cell r="M102" t="str">
            <v>Godard</v>
          </cell>
          <cell r="N102">
            <v>2448</v>
          </cell>
          <cell r="O102" t="str">
            <v>DEM</v>
          </cell>
          <cell r="P102" t="str">
            <v>DEM</v>
          </cell>
          <cell r="Q102" t="e">
            <v>#REF!</v>
          </cell>
          <cell r="R102">
            <v>189177.99604260083</v>
          </cell>
          <cell r="S102">
            <v>370000</v>
          </cell>
          <cell r="T102">
            <v>31.2</v>
          </cell>
          <cell r="U102">
            <v>50</v>
          </cell>
          <cell r="V102">
            <v>185000</v>
          </cell>
          <cell r="W102">
            <v>555000</v>
          </cell>
          <cell r="X102">
            <v>283766.99406390125</v>
          </cell>
          <cell r="Y102">
            <v>283766.99406390125</v>
          </cell>
          <cell r="Z102">
            <v>57.4</v>
          </cell>
          <cell r="AA102">
            <v>14000</v>
          </cell>
        </row>
        <row r="103">
          <cell r="C103" t="str">
            <v>von Stillfried</v>
          </cell>
          <cell r="D103" t="str">
            <v>Heinrich</v>
          </cell>
          <cell r="E103" t="str">
            <v>Bus Devt Mkt &amp; LC CIS, Balkan, Turkey &amp; Middle East</v>
          </cell>
          <cell r="F103">
            <v>1947</v>
          </cell>
          <cell r="G103" t="str">
            <v>COO</v>
          </cell>
          <cell r="H103" t="str">
            <v>ACSI</v>
          </cell>
          <cell r="I103" t="str">
            <v>Local</v>
          </cell>
          <cell r="J103" t="str">
            <v>Germany</v>
          </cell>
          <cell r="K103">
            <v>0</v>
          </cell>
          <cell r="L103" t="str">
            <v>von Olfers</v>
          </cell>
          <cell r="M103" t="str">
            <v>Méheut</v>
          </cell>
          <cell r="N103">
            <v>1628</v>
          </cell>
          <cell r="O103" t="str">
            <v>DEM</v>
          </cell>
          <cell r="P103" t="str">
            <v>DEM</v>
          </cell>
          <cell r="Q103" t="e">
            <v>#REF!</v>
          </cell>
          <cell r="R103">
            <v>124182.57210493754</v>
          </cell>
          <cell r="S103">
            <v>242880</v>
          </cell>
          <cell r="T103">
            <v>10</v>
          </cell>
          <cell r="U103">
            <v>40</v>
          </cell>
          <cell r="V103">
            <v>97152</v>
          </cell>
          <cell r="W103">
            <v>340032</v>
          </cell>
          <cell r="X103">
            <v>173855.60094691257</v>
          </cell>
          <cell r="Y103">
            <v>173855.60094691254</v>
          </cell>
          <cell r="Z103">
            <v>23.2</v>
          </cell>
          <cell r="AA103">
            <v>6500</v>
          </cell>
        </row>
        <row r="104">
          <cell r="C104" t="str">
            <v xml:space="preserve">Weiner </v>
          </cell>
          <cell r="D104" t="str">
            <v xml:space="preserve">Karen </v>
          </cell>
          <cell r="E104" t="str">
            <v>Corporate Legal Affairs NA</v>
          </cell>
          <cell r="F104">
            <v>0</v>
          </cell>
          <cell r="G104" t="str">
            <v>COO</v>
          </cell>
          <cell r="H104" t="str">
            <v>USA</v>
          </cell>
          <cell r="I104" t="str">
            <v>Local</v>
          </cell>
          <cell r="J104" t="str">
            <v>USA</v>
          </cell>
          <cell r="K104">
            <v>0</v>
          </cell>
          <cell r="L104" t="str">
            <v>Delage</v>
          </cell>
          <cell r="M104" t="str">
            <v>Méheut</v>
          </cell>
          <cell r="N104">
            <v>1358</v>
          </cell>
          <cell r="O104" t="str">
            <v>USD</v>
          </cell>
          <cell r="P104" t="str">
            <v>USD</v>
          </cell>
          <cell r="Q104" t="e">
            <v>#REF!</v>
          </cell>
          <cell r="R104">
            <v>173537.02310585708</v>
          </cell>
          <cell r="S104">
            <v>161476.20000000001</v>
          </cell>
          <cell r="T104">
            <v>2</v>
          </cell>
          <cell r="U104">
            <v>35</v>
          </cell>
          <cell r="V104">
            <v>56516.67</v>
          </cell>
          <cell r="W104">
            <v>217992.87</v>
          </cell>
          <cell r="X104">
            <v>234274.98119290703</v>
          </cell>
          <cell r="Y104">
            <v>234274.98119290709</v>
          </cell>
          <cell r="Z104">
            <v>14.8</v>
          </cell>
          <cell r="AA104">
            <v>3500</v>
          </cell>
        </row>
        <row r="105">
          <cell r="C105" t="str">
            <v xml:space="preserve">Weiser </v>
          </cell>
          <cell r="D105" t="str">
            <v>Manfred</v>
          </cell>
          <cell r="E105" t="str">
            <v>GPTL</v>
          </cell>
          <cell r="F105">
            <v>0</v>
          </cell>
          <cell r="G105" t="str">
            <v>COO</v>
          </cell>
          <cell r="H105" t="str">
            <v>CPPM</v>
          </cell>
          <cell r="I105" t="str">
            <v>Delegate</v>
          </cell>
          <cell r="J105" t="str">
            <v>Germany</v>
          </cell>
          <cell r="K105" t="str">
            <v>France</v>
          </cell>
          <cell r="L105" t="str">
            <v>Howard</v>
          </cell>
          <cell r="M105" t="str">
            <v>Zirakparvar</v>
          </cell>
          <cell r="N105">
            <v>1232</v>
          </cell>
          <cell r="O105" t="str">
            <v>FRF</v>
          </cell>
          <cell r="P105" t="str">
            <v>FRF</v>
          </cell>
          <cell r="Q105" t="e">
            <v>#REF!</v>
          </cell>
          <cell r="R105">
            <v>97554.412865477469</v>
          </cell>
          <cell r="S105">
            <v>639915</v>
          </cell>
          <cell r="T105">
            <v>6</v>
          </cell>
          <cell r="U105">
            <v>35</v>
          </cell>
          <cell r="V105">
            <v>223970.25</v>
          </cell>
          <cell r="W105">
            <v>863885.25</v>
          </cell>
          <cell r="X105">
            <v>131698.45736839456</v>
          </cell>
          <cell r="Y105">
            <v>131698.45736839459</v>
          </cell>
          <cell r="Z105">
            <v>14.5</v>
          </cell>
          <cell r="AA105">
            <v>2000</v>
          </cell>
        </row>
        <row r="106">
          <cell r="C106" t="str">
            <v>Welter</v>
          </cell>
          <cell r="D106" t="str">
            <v>Wolfgang</v>
          </cell>
          <cell r="E106" t="str">
            <v>EHSQ</v>
          </cell>
          <cell r="F106">
            <v>1948</v>
          </cell>
          <cell r="G106" t="str">
            <v>COO</v>
          </cell>
          <cell r="H106" t="str">
            <v>Manufacturing &amp; EHS</v>
          </cell>
          <cell r="I106" t="str">
            <v>Delegate</v>
          </cell>
          <cell r="J106" t="str">
            <v>Germany</v>
          </cell>
          <cell r="K106" t="str">
            <v>France</v>
          </cell>
          <cell r="L106" t="str">
            <v>Méheut</v>
          </cell>
          <cell r="M106" t="str">
            <v>Godard</v>
          </cell>
          <cell r="N106">
            <v>1960</v>
          </cell>
          <cell r="O106" t="str">
            <v>FRF</v>
          </cell>
          <cell r="P106" t="str">
            <v>FRF</v>
          </cell>
          <cell r="Q106" t="e">
            <v>#REF!</v>
          </cell>
          <cell r="R106">
            <v>148271.91416510535</v>
          </cell>
          <cell r="S106">
            <v>972600</v>
          </cell>
          <cell r="T106">
            <v>28.9</v>
          </cell>
          <cell r="U106">
            <v>40</v>
          </cell>
          <cell r="V106">
            <v>389040</v>
          </cell>
          <cell r="W106">
            <v>1361640</v>
          </cell>
          <cell r="X106">
            <v>207580.67983114748</v>
          </cell>
          <cell r="Y106">
            <v>207580.67983114748</v>
          </cell>
          <cell r="Z106">
            <v>44.4</v>
          </cell>
          <cell r="AA106">
            <v>10000</v>
          </cell>
        </row>
        <row r="107">
          <cell r="B107" t="str">
            <v>R&amp;D</v>
          </cell>
          <cell r="C107" t="str">
            <v>Wengenmayer</v>
          </cell>
          <cell r="D107" t="str">
            <v>Friedrich</v>
          </cell>
          <cell r="E107" t="str">
            <v>Manager R+D Germany &amp; UK</v>
          </cell>
          <cell r="F107">
            <v>1945</v>
          </cell>
          <cell r="G107" t="str">
            <v>COO</v>
          </cell>
          <cell r="H107" t="str">
            <v>Innovation</v>
          </cell>
          <cell r="I107" t="str">
            <v>Local</v>
          </cell>
          <cell r="J107" t="str">
            <v>Germany</v>
          </cell>
          <cell r="K107">
            <v>0</v>
          </cell>
          <cell r="L107" t="str">
            <v>Leroux</v>
          </cell>
          <cell r="M107" t="str">
            <v>Méheut</v>
          </cell>
          <cell r="N107">
            <v>1936</v>
          </cell>
          <cell r="O107" t="str">
            <v>DEM</v>
          </cell>
          <cell r="P107" t="str">
            <v>DEM R&amp;D</v>
          </cell>
          <cell r="Q107" t="e">
            <v>#REF!</v>
          </cell>
          <cell r="R107">
            <v>148000.00000000003</v>
          </cell>
          <cell r="S107">
            <v>289462.84000000003</v>
          </cell>
          <cell r="T107">
            <v>7.7</v>
          </cell>
          <cell r="U107">
            <v>40</v>
          </cell>
          <cell r="V107">
            <v>115785.13600000001</v>
          </cell>
          <cell r="W107">
            <v>405247.97600000002</v>
          </cell>
          <cell r="X107">
            <v>207200.00000000003</v>
          </cell>
          <cell r="Y107">
            <v>207200.00000000003</v>
          </cell>
          <cell r="Z107">
            <v>20.6</v>
          </cell>
          <cell r="AA107">
            <v>7000</v>
          </cell>
        </row>
        <row r="108">
          <cell r="C108" t="str">
            <v>Wichtrich</v>
          </cell>
          <cell r="D108" t="str">
            <v>John</v>
          </cell>
          <cell r="E108" t="str">
            <v>Sedagri</v>
          </cell>
          <cell r="F108">
            <v>1940</v>
          </cell>
          <cell r="G108" t="str">
            <v>COO</v>
          </cell>
          <cell r="H108" t="str">
            <v>USA</v>
          </cell>
          <cell r="I108" t="str">
            <v>Local</v>
          </cell>
          <cell r="J108" t="str">
            <v>USA</v>
          </cell>
          <cell r="K108">
            <v>0</v>
          </cell>
          <cell r="L108" t="str">
            <v>Delage</v>
          </cell>
          <cell r="M108" t="str">
            <v>Méheut</v>
          </cell>
          <cell r="N108">
            <v>1292</v>
          </cell>
          <cell r="O108" t="str">
            <v>USD</v>
          </cell>
          <cell r="P108" t="str">
            <v>USD</v>
          </cell>
          <cell r="Q108" t="e">
            <v>#REF!</v>
          </cell>
          <cell r="R108">
            <v>306076.30306286941</v>
          </cell>
          <cell r="S108">
            <v>284804</v>
          </cell>
          <cell r="T108">
            <v>0</v>
          </cell>
          <cell r="U108">
            <v>50</v>
          </cell>
          <cell r="V108">
            <v>142402</v>
          </cell>
          <cell r="W108">
            <v>427206</v>
          </cell>
          <cell r="X108">
            <v>459114.45459430414</v>
          </cell>
          <cell r="Y108">
            <v>459114.45459430409</v>
          </cell>
          <cell r="Z108">
            <v>0</v>
          </cell>
          <cell r="AA108">
            <v>6000</v>
          </cell>
        </row>
        <row r="109">
          <cell r="B109" t="str">
            <v>R&amp;D</v>
          </cell>
          <cell r="C109" t="str">
            <v xml:space="preserve">Wright </v>
          </cell>
          <cell r="D109" t="str">
            <v>Ken</v>
          </cell>
          <cell r="E109" t="str">
            <v>R&amp;D C-Park</v>
          </cell>
          <cell r="F109">
            <v>0</v>
          </cell>
          <cell r="G109" t="str">
            <v>COO</v>
          </cell>
          <cell r="H109" t="str">
            <v>Innovation</v>
          </cell>
          <cell r="I109" t="str">
            <v>Local</v>
          </cell>
          <cell r="J109" t="str">
            <v>UK</v>
          </cell>
          <cell r="K109">
            <v>0</v>
          </cell>
          <cell r="L109" t="str">
            <v>Wengenmayer</v>
          </cell>
          <cell r="M109" t="str">
            <v>Leroux</v>
          </cell>
          <cell r="N109">
            <v>1358</v>
          </cell>
          <cell r="O109" t="str">
            <v>GBP</v>
          </cell>
          <cell r="P109" t="str">
            <v>GBP R&amp;D</v>
          </cell>
          <cell r="Q109" t="e">
            <v>#REF!</v>
          </cell>
          <cell r="R109">
            <v>116971.63916039097</v>
          </cell>
          <cell r="S109">
            <v>73002</v>
          </cell>
          <cell r="T109">
            <v>3.3</v>
          </cell>
          <cell r="U109">
            <v>35</v>
          </cell>
          <cell r="V109">
            <v>25550.7</v>
          </cell>
          <cell r="W109">
            <v>98552.7</v>
          </cell>
          <cell r="X109">
            <v>157911.71286652779</v>
          </cell>
          <cell r="Y109">
            <v>157911.71286652781</v>
          </cell>
          <cell r="Z109">
            <v>16.2</v>
          </cell>
          <cell r="AA109">
            <v>0</v>
          </cell>
        </row>
        <row r="110">
          <cell r="C110" t="str">
            <v>Yvon</v>
          </cell>
          <cell r="D110" t="str">
            <v>Jean-Claude</v>
          </cell>
          <cell r="E110" t="str">
            <v>HR/Executive Management</v>
          </cell>
          <cell r="F110">
            <v>1941</v>
          </cell>
          <cell r="G110" t="str">
            <v>HR</v>
          </cell>
          <cell r="H110">
            <v>0</v>
          </cell>
          <cell r="I110" t="str">
            <v>Local</v>
          </cell>
          <cell r="J110" t="str">
            <v>France</v>
          </cell>
          <cell r="K110">
            <v>0</v>
          </cell>
          <cell r="L110" t="str">
            <v>Timner</v>
          </cell>
          <cell r="M110" t="str">
            <v>Godard</v>
          </cell>
          <cell r="N110">
            <v>1788</v>
          </cell>
          <cell r="O110" t="str">
            <v>FRF</v>
          </cell>
          <cell r="P110" t="str">
            <v>FRF</v>
          </cell>
          <cell r="Q110" t="e">
            <v>#REF!</v>
          </cell>
          <cell r="R110">
            <v>138461.81990587799</v>
          </cell>
          <cell r="S110">
            <v>908250</v>
          </cell>
          <cell r="T110">
            <v>5</v>
          </cell>
          <cell r="U110">
            <v>40</v>
          </cell>
          <cell r="V110">
            <v>363300</v>
          </cell>
          <cell r="W110">
            <v>1271550</v>
          </cell>
          <cell r="X110">
            <v>193846.54786822916</v>
          </cell>
          <cell r="Y110">
            <v>193846.54786822916</v>
          </cell>
          <cell r="Z110">
            <v>13.1</v>
          </cell>
          <cell r="AA110">
            <v>6000</v>
          </cell>
        </row>
        <row r="111">
          <cell r="C111" t="str">
            <v>Zirakparvar</v>
          </cell>
          <cell r="D111" t="str">
            <v>Esmail</v>
          </cell>
          <cell r="E111" t="str">
            <v>CPPM</v>
          </cell>
          <cell r="F111">
            <v>0</v>
          </cell>
          <cell r="G111" t="str">
            <v>COO</v>
          </cell>
          <cell r="H111" t="str">
            <v>CPPM</v>
          </cell>
          <cell r="I111" t="str">
            <v>Expat</v>
          </cell>
          <cell r="J111" t="str">
            <v>USA</v>
          </cell>
          <cell r="K111" t="str">
            <v>France</v>
          </cell>
          <cell r="L111" t="str">
            <v>Méheut</v>
          </cell>
          <cell r="M111" t="str">
            <v>Godard</v>
          </cell>
          <cell r="N111">
            <v>2676</v>
          </cell>
          <cell r="O111" t="str">
            <v>USD</v>
          </cell>
          <cell r="P111" t="str">
            <v>USD</v>
          </cell>
          <cell r="Q111">
            <v>0</v>
          </cell>
          <cell r="R111">
            <v>274046.21171413217</v>
          </cell>
          <cell r="S111">
            <v>255000</v>
          </cell>
          <cell r="T111">
            <v>2</v>
          </cell>
          <cell r="U111">
            <v>50</v>
          </cell>
          <cell r="V111">
            <v>127500</v>
          </cell>
          <cell r="W111">
            <v>382500</v>
          </cell>
          <cell r="X111">
            <v>411069.31757119828</v>
          </cell>
          <cell r="Y111">
            <v>411069.31757119822</v>
          </cell>
          <cell r="Z111" t="str">
            <v>/</v>
          </cell>
          <cell r="AA111">
            <v>18000</v>
          </cell>
        </row>
        <row r="112">
          <cell r="Y112">
            <v>0</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ow r="4">
          <cell r="B4" t="str">
            <v xml:space="preserve">Barella * </v>
          </cell>
        </row>
      </sheetData>
      <sheetData sheetId="53">
        <row r="4">
          <cell r="B4" t="str">
            <v>Touret</v>
          </cell>
        </row>
      </sheetData>
      <sheetData sheetId="54">
        <row r="5">
          <cell r="C5" t="str">
            <v xml:space="preserve">Aldridge </v>
          </cell>
        </row>
      </sheetData>
      <sheetData sheetId="55">
        <row r="4">
          <cell r="B4" t="str">
            <v xml:space="preserve">Barella * </v>
          </cell>
        </row>
      </sheetData>
      <sheetData sheetId="56">
        <row r="4">
          <cell r="B4" t="str">
            <v>Touret</v>
          </cell>
        </row>
      </sheetData>
      <sheetData sheetId="57">
        <row r="5">
          <cell r="C5" t="str">
            <v xml:space="preserve">Aldridge </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ow r="4">
          <cell r="B4" t="str">
            <v>Touret</v>
          </cell>
        </row>
      </sheetData>
      <sheetData sheetId="96">
        <row r="4">
          <cell r="B4" t="str">
            <v xml:space="preserve">Barella * </v>
          </cell>
        </row>
      </sheetData>
      <sheetData sheetId="97">
        <row r="5">
          <cell r="C5" t="str">
            <v xml:space="preserve">Aldridge </v>
          </cell>
        </row>
      </sheetData>
      <sheetData sheetId="98"/>
      <sheetData sheetId="99"/>
      <sheetData sheetId="100"/>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Source"/>
      <sheetName val="FS BDD"/>
      <sheetName val="Stock"/>
      <sheetName val="Marchés"/>
      <sheetName val="hors FS BDD"/>
      <sheetName val="Tables"/>
      <sheetName val="Levels 1&amp;2 sans modicaftion"/>
    </sheetNames>
    <sheetDataSet>
      <sheetData sheetId="0"/>
      <sheetData sheetId="1">
        <row r="4">
          <cell r="B4" t="str">
            <v>Human Resources</v>
          </cell>
          <cell r="D4" t="str">
            <v>Can Tho</v>
          </cell>
        </row>
        <row r="5">
          <cell r="B5" t="str">
            <v>IT</v>
          </cell>
          <cell r="D5" t="str">
            <v>Da Nang</v>
          </cell>
        </row>
        <row r="6">
          <cell r="B6" t="str">
            <v>Finance</v>
          </cell>
          <cell r="D6" t="str">
            <v>HCMC</v>
          </cell>
        </row>
        <row r="7">
          <cell r="B7" t="str">
            <v>Import-QA-Compliance&amp;Communications</v>
          </cell>
          <cell r="D7" t="str">
            <v>HCMC - Phyto</v>
          </cell>
        </row>
        <row r="8">
          <cell r="B8" t="str">
            <v>Operations</v>
          </cell>
          <cell r="D8" t="str">
            <v>HCMC - Tan Tao</v>
          </cell>
        </row>
        <row r="9">
          <cell r="B9" t="str">
            <v>Sales</v>
          </cell>
          <cell r="D9" t="str">
            <v>HCMC - Cat Lai</v>
          </cell>
        </row>
        <row r="14">
          <cell r="B14" t="str">
            <v>Human Resources</v>
          </cell>
          <cell r="F14" t="str">
            <v>IT Manager</v>
          </cell>
        </row>
        <row r="15">
          <cell r="B15" t="str">
            <v>IT</v>
          </cell>
          <cell r="F15" t="str">
            <v>Finance Manager</v>
          </cell>
        </row>
        <row r="16">
          <cell r="B16" t="str">
            <v>Finance</v>
          </cell>
          <cell r="F16" t="str">
            <v>Deputy General Director</v>
          </cell>
        </row>
        <row r="17">
          <cell r="B17" t="str">
            <v>Credit Control &amp; Collection</v>
          </cell>
          <cell r="F17" t="str">
            <v>Operations Manager</v>
          </cell>
        </row>
        <row r="18">
          <cell r="B18" t="str">
            <v>Import-QA-Compliance&amp;Communications</v>
          </cell>
          <cell r="F18" t="str">
            <v>National Sales Manager</v>
          </cell>
        </row>
        <row r="19">
          <cell r="B19" t="str">
            <v>Operations-Admin</v>
          </cell>
          <cell r="F19" t="str">
            <v>Human Resources Manager</v>
          </cell>
        </row>
        <row r="20">
          <cell r="B20" t="str">
            <v>Customer Service</v>
          </cell>
          <cell r="F20" t="str">
            <v>Basic info.</v>
          </cell>
        </row>
        <row r="21">
          <cell r="B21" t="str">
            <v>Delivery</v>
          </cell>
        </row>
        <row r="22">
          <cell r="B22" t="str">
            <v>Inventory</v>
          </cell>
        </row>
        <row r="23">
          <cell r="B23" t="str">
            <v>Warehouse</v>
          </cell>
        </row>
        <row r="24">
          <cell r="B24" t="str">
            <v>Business Support</v>
          </cell>
        </row>
        <row r="25">
          <cell r="B25" t="str">
            <v>Hospital Support</v>
          </cell>
        </row>
        <row r="26">
          <cell r="B26" t="str">
            <v>Sales Multiline</v>
          </cell>
        </row>
        <row r="27">
          <cell r="B27" t="str">
            <v>GSK</v>
          </cell>
        </row>
        <row r="28">
          <cell r="B28" t="str">
            <v>OTC</v>
          </cell>
        </row>
        <row r="29">
          <cell r="B29" t="str">
            <v>OTC-TB</v>
          </cell>
        </row>
        <row r="30">
          <cell r="B30" t="str">
            <v>BCC</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fecte noms ds nuages pts"/>
      <sheetName val="Résultats bruts"/>
      <sheetName val="POSTES 98"/>
      <sheetName val="MARKET - SB"/>
      <sheetName val="MARKET - TC"/>
      <sheetName val="VENTE - SB"/>
      <sheetName val="VENTE - TC"/>
      <sheetName val="INFO - SB"/>
      <sheetName val="INFO - TC"/>
      <sheetName val="R&amp;D - SB"/>
      <sheetName val="R&amp;D - TC"/>
      <sheetName val="IP - SB"/>
      <sheetName val="IP - TC"/>
      <sheetName val="Feuil1"/>
      <sheetName val="Résultats a lisser"/>
      <sheetName val="FS BDD"/>
      <sheetName val="Stock"/>
      <sheetName val="Marchés"/>
      <sheetName val="hors FS BDD"/>
      <sheetName val="Tables"/>
      <sheetName val="Levels 1&amp;2 sans modicaftion"/>
      <sheetName val="Jul.19"/>
      <sheetName val="BCC"/>
      <sheetName val="Sheet1"/>
      <sheetName val="Mcdo. Gral. 98"/>
      <sheetName val="MERCADO"/>
      <sheetName val="interpol"/>
      <sheetName val="Source"/>
      <sheetName val="Sum up"/>
      <sheetName val="Affecte_noms_ds_nuages_pts"/>
      <sheetName val="Résultats_bruts"/>
      <sheetName val="POSTES_98"/>
      <sheetName val="MARKET_-_SB"/>
      <sheetName val="MARKET_-_TC"/>
      <sheetName val="VENTE_-_SB"/>
      <sheetName val="VENTE_-_TC"/>
      <sheetName val="INFO_-_SB"/>
      <sheetName val="INFO_-_TC"/>
      <sheetName val="R&amp;D_-_SB"/>
      <sheetName val="R&amp;D_-_TC"/>
      <sheetName val="IP_-_SB"/>
      <sheetName val="IP_-_TC"/>
      <sheetName val="Résultats_a_lisser"/>
      <sheetName val="FS_BDD"/>
      <sheetName val="hors_FS_BDD"/>
      <sheetName val="Levels_1&amp;2_sans_modicaftion"/>
      <sheetName val="Jul_19"/>
      <sheetName val="Mcdo__Gral__98"/>
      <sheetName val="0"/>
      <sheetName val="Affecte_noms_ds_nuages_pts1"/>
      <sheetName val="Résultats_bruts1"/>
      <sheetName val="POSTES_981"/>
      <sheetName val="MARKET_-_SB1"/>
      <sheetName val="MARKET_-_TC1"/>
      <sheetName val="VENTE_-_SB1"/>
      <sheetName val="VENTE_-_TC1"/>
      <sheetName val="INFO_-_SB1"/>
      <sheetName val="INFO_-_TC1"/>
      <sheetName val="R&amp;D_-_SB1"/>
      <sheetName val="R&amp;D_-_TC1"/>
      <sheetName val="IP_-_SB1"/>
      <sheetName val="IP_-_TC1"/>
      <sheetName val="Résultats_a_lisser1"/>
      <sheetName val="FS_BDD1"/>
      <sheetName val="hors_FS_BDD1"/>
      <sheetName val="Levels_1&amp;2_sans_modicaftion1"/>
      <sheetName val="Jul_191"/>
      <sheetName val="Mcdo__Gral__981"/>
      <sheetName val="Sum_up"/>
      <sheetName val="Affecte_noms_ds_nuages_pts2"/>
      <sheetName val="Résultats_bruts2"/>
      <sheetName val="POSTES_982"/>
      <sheetName val="MARKET_-_SB2"/>
      <sheetName val="MARKET_-_TC2"/>
      <sheetName val="VENTE_-_SB2"/>
      <sheetName val="VENTE_-_TC2"/>
      <sheetName val="INFO_-_SB2"/>
      <sheetName val="INFO_-_TC2"/>
      <sheetName val="R&amp;D_-_SB2"/>
      <sheetName val="R&amp;D_-_TC2"/>
      <sheetName val="IP_-_SB2"/>
      <sheetName val="IP_-_TC2"/>
      <sheetName val="Résultats_a_lisser2"/>
      <sheetName val="FS_BDD2"/>
      <sheetName val="hors_FS_BDD2"/>
      <sheetName val="Levels_1&amp;2_sans_modicaftion2"/>
      <sheetName val="Jul_192"/>
      <sheetName val="Mcdo__Gral__982"/>
      <sheetName val="Sum_up1"/>
      <sheetName val="Affecte_noms_ds_nuages_pts3"/>
      <sheetName val="Résultats_bruts3"/>
      <sheetName val="POSTES_983"/>
      <sheetName val="MARKET_-_SB3"/>
      <sheetName val="MARKET_-_TC3"/>
      <sheetName val="VENTE_-_SB3"/>
      <sheetName val="VENTE_-_TC3"/>
      <sheetName val="INFO_-_SB3"/>
      <sheetName val="INFO_-_TC3"/>
      <sheetName val="R&amp;D_-_SB3"/>
      <sheetName val="R&amp;D_-_TC3"/>
      <sheetName val="IP_-_SB3"/>
      <sheetName val="IP_-_TC3"/>
      <sheetName val="Résultats_a_lisser3"/>
      <sheetName val="FS_BDD3"/>
      <sheetName val="hors_FS_BDD3"/>
      <sheetName val="Levels_1&amp;2_sans_modicaftion3"/>
      <sheetName val="Jul_193"/>
      <sheetName val="Mcdo__Gral__983"/>
      <sheetName val="Sum_up2"/>
      <sheetName val="Attend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fecte noms ds nuages pts"/>
      <sheetName val="Résultats bruts"/>
      <sheetName val="POSTES 98"/>
      <sheetName val="MARKET - SB"/>
      <sheetName val="MARKET - TC"/>
      <sheetName val="VENTE - SB"/>
      <sheetName val="VENTE - TC"/>
      <sheetName val="INFO - SB"/>
      <sheetName val="INFO - TC"/>
      <sheetName val="R&amp;D - SB"/>
      <sheetName val="R&amp;D - TC"/>
      <sheetName val="IP - SB"/>
      <sheetName val="IP - TC"/>
      <sheetName val="Feuil1"/>
      <sheetName val="Résultats a lisser"/>
      <sheetName val="FS BDD"/>
      <sheetName val="Stock"/>
      <sheetName val="Marchés"/>
      <sheetName val="hors FS BDD"/>
      <sheetName val="Tables"/>
      <sheetName val="Levels 1&amp;2 sans modicaftion"/>
      <sheetName val="Source"/>
      <sheetName val="Mcdo. Gral. 98"/>
      <sheetName val="MERCADO"/>
      <sheetName val="Jul.19"/>
      <sheetName val="BCC"/>
      <sheetName val="Sheet1"/>
      <sheetName val="Market data (by grade) (Eu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CADO"/>
      <sheetName val="Affecte noms ds nuages pts"/>
      <sheetName val="Tóm tắt"/>
      <sheetName val="Phan tich gia Bao ve 2019"/>
      <sheetName val="Chi phí 1 HC Đội trưởng"/>
      <sheetName val="Chi phí 1 HC nhân viên"/>
      <sheetName val="Công cụ - VPP"/>
      <sheetName val="Mức BHXH"/>
      <sheetName val="Lễ TẾT trong năm"/>
      <sheetName val="BKEOTO"/>
      <sheetName val="Jul.19"/>
      <sheetName val="BCC"/>
      <sheetName val="Sheet1"/>
      <sheetName val="Market data (by grade)"/>
      <sheetName val="Affecte_noms_ds_nuages_pts"/>
      <sheetName val="Tóm_tắt"/>
      <sheetName val="Phan_tich_gia_Bao_ve_2019"/>
      <sheetName val="Chi_phí_1_HC_Đội_trưởng"/>
      <sheetName val="Chi_phí_1_HC_nhân_viên"/>
      <sheetName val="Công_cụ_-_VPP"/>
      <sheetName val="Mức_BHXH"/>
      <sheetName val="Lễ_TẾT_trong_năm"/>
      <sheetName val="Jul_19"/>
      <sheetName val="Attendant"/>
      <sheetName val="Affecte_noms_ds_nuages_pts1"/>
      <sheetName val="Tóm_tắt1"/>
      <sheetName val="Phan_tich_gia_Bao_ve_20191"/>
      <sheetName val="Chi_phí_1_HC_Đội_trưởng1"/>
      <sheetName val="Chi_phí_1_HC_nhân_viên1"/>
      <sheetName val="Công_cụ_-_VPP1"/>
      <sheetName val="Mức_BHXH1"/>
      <sheetName val="Lễ_TẾT_trong_năm1"/>
      <sheetName val="Jul_191"/>
      <sheetName val="Market_data_(by_grade)"/>
      <sheetName val="Affecte_noms_ds_nuages_pts2"/>
      <sheetName val="Tóm_tắt2"/>
      <sheetName val="Phan_tich_gia_Bao_ve_20192"/>
      <sheetName val="Chi_phí_1_HC_Đội_trưởng2"/>
      <sheetName val="Chi_phí_1_HC_nhân_viên2"/>
      <sheetName val="Công_cụ_-_VPP2"/>
      <sheetName val="Mức_BHXH2"/>
      <sheetName val="Lễ_TẾT_trong_năm2"/>
      <sheetName val="Jul_192"/>
      <sheetName val="Market_data_(by_grade)1"/>
      <sheetName val="Affecte_noms_ds_nuages_pts4"/>
      <sheetName val="Tóm_tắt4"/>
      <sheetName val="Phan_tich_gia_Bao_ve_20194"/>
      <sheetName val="Chi_phí_1_HC_Đội_trưởng4"/>
      <sheetName val="Chi_phí_1_HC_nhân_viên4"/>
      <sheetName val="Công_cụ_-_VPP4"/>
      <sheetName val="Mức_BHXH4"/>
      <sheetName val="Lễ_TẾT_trong_năm4"/>
      <sheetName val="Jul_194"/>
      <sheetName val="Market_data_(by_grade)3"/>
      <sheetName val="Affecte_noms_ds_nuages_pts3"/>
      <sheetName val="Tóm_tắt3"/>
      <sheetName val="Phan_tich_gia_Bao_ve_20193"/>
      <sheetName val="Chi_phí_1_HC_Đội_trưởng3"/>
      <sheetName val="Chi_phí_1_HC_nhân_viên3"/>
      <sheetName val="Công_cụ_-_VPP3"/>
      <sheetName val="Mức_BHXH3"/>
      <sheetName val="Lễ_TẾT_trong_năm3"/>
      <sheetName val="Jul_193"/>
      <sheetName val="Market_data_(by_grade)2"/>
    </sheetNames>
    <sheetDataSet>
      <sheetData sheetId="0"/>
      <sheetData sheetId="1" refreshError="1"/>
      <sheetData sheetId="2"/>
      <sheetData sheetId="3"/>
      <sheetData sheetId="4"/>
      <sheetData sheetId="5"/>
      <sheetData sheetId="6"/>
      <sheetData sheetId="7"/>
      <sheetData sheetId="8"/>
      <sheetData sheetId="9" refreshError="1"/>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graph comp"/>
      <sheetName val="Market data (by grade) (Euros)"/>
      <sheetName val="Salary Summary"/>
      <sheetName val="Données salariales"/>
      <sheetName val="Salaires Comp"/>
      <sheetName val="Tab points"/>
      <sheetName val="PPG Data"/>
      <sheetName val="RPR US Prop"/>
      <sheetName val="sociétés chimie"/>
      <sheetName val="sociétés pharma"/>
      <sheetName val="Decision form ref market Pharma"/>
      <sheetName val="Decision form ref market AG"/>
      <sheetName val="Decision form ref market Corp"/>
      <sheetName val="Market form"/>
      <sheetName val="Comp form AG"/>
      <sheetName val="Compar form Pharma"/>
      <sheetName val="Compar form Jobs current"/>
      <sheetName val="Compar form Jobs proposed"/>
      <sheetName val="Graphics"/>
      <sheetName val="Pha SB Comp (1) - A3"/>
      <sheetName val="Pha SB Comp (2) - A4"/>
      <sheetName val="Pha SB Comp (4) - A4"/>
      <sheetName val="Pha SB Comp (5) - A4"/>
      <sheetName val="Pha TC Comp (1) - A3"/>
      <sheetName val="Pha TC Comp (2) - A4"/>
      <sheetName val="Pha TC Comp (4) - A4"/>
      <sheetName val="Pha TC Comp (5) - A4"/>
      <sheetName val="Pha TC Comp (1) - A3 (2)"/>
      <sheetName val="Pha TDC Comp"/>
      <sheetName val="Pha TDC Comp (1) - A3"/>
      <sheetName val="Pha TDC Comp (2) - A4"/>
      <sheetName val="Pha TDC Comp (4) - A4"/>
      <sheetName val="Pha TDC Comp (5) - A4"/>
      <sheetName val="Pha SO Comp (1) - A3 Euro"/>
      <sheetName val="Pha SO Comp (5) - A4#"/>
      <sheetName val="Pha SO Comp (5) - A4 Euro"/>
      <sheetName val="Pha SO Comp (2) - A4#"/>
      <sheetName val="Pha SO Comp (2) - A4 Euro"/>
      <sheetName val="Pha SO Comp (3) - A4#"/>
      <sheetName val="Pha SO Comp (3) - A4 Euro"/>
      <sheetName val="Pha 2500"/>
      <sheetName val="Pha 2500 (2)"/>
      <sheetName val="Pha 2500 (3)"/>
      <sheetName val="Pha 2128 (2)"/>
      <sheetName val="Pha 2128 (3)"/>
      <sheetName val="Pha 1750 (2)"/>
      <sheetName val="Pha 1750 (3)"/>
      <sheetName val="Crop 2500 (2)"/>
      <sheetName val="Crop 2500 (3)"/>
      <sheetName val="Crop 1750 (2)"/>
      <sheetName val="Crop 1750 (3)"/>
      <sheetName val="Agro SB Comp (2) - A4"/>
      <sheetName val="Agro SB Comp (1) - A3"/>
      <sheetName val="Agro SB Comp (4) - A4"/>
      <sheetName val="Agro TC Comp (1) - A3"/>
      <sheetName val="Agro TC Comp (2) - A4"/>
      <sheetName val="Agro TC Comp (4) - A4"/>
      <sheetName val="Agro TDC Comp (1) - A3"/>
      <sheetName val="Agro TDC Comp (2) - A4"/>
      <sheetName val="Agro TDC Comp (4) - A4"/>
      <sheetName val="Agro SO Comp (1) - A3 Euro"/>
      <sheetName val="Agro SO Comp (2) - A4#"/>
      <sheetName val="Agro SO Comp (2) - A4 Euro"/>
      <sheetName val="Agro SO Comp (3) - A4#"/>
      <sheetName val="Agro SO Comp (3) - A4 Euro"/>
      <sheetName val="COMP SB"/>
      <sheetName val="COMP TC"/>
      <sheetName val="COMP TDC"/>
      <sheetName val="SO HMR AG"/>
      <sheetName val="Corp SB Comp"/>
      <sheetName val="Corp SB Comp (2)"/>
      <sheetName val="Corp SB Comp (3)"/>
      <sheetName val="Corp SB Comp (4)"/>
      <sheetName val="Corp TC Comp"/>
      <sheetName val="Corp TC Comp (2)"/>
      <sheetName val="Corp TC Comp (3)"/>
      <sheetName val="Corp TC Comp (4)"/>
      <sheetName val="Corp TDC Comp"/>
      <sheetName val="Corp TDC Comp (2)"/>
      <sheetName val="Corp TDC Comp (3)"/>
      <sheetName val="Corp TDC Comp (4)"/>
      <sheetName val="Corp SO Comp (3)"/>
      <sheetName val="Options"/>
      <sheetName val="Sauvegarde"/>
      <sheetName val="Base d'éval 220799"/>
      <sheetName val="Base évaluations"/>
      <sheetName val="GE market nonVorstand"/>
      <sheetName val="Agrevo 29-4"/>
      <sheetName val="HMR data 29-4"/>
      <sheetName val="Data All"/>
      <sheetName val="Rp data 29-4"/>
      <sheetName val="interpol"/>
      <sheetName val="TP Data , non validée"/>
      <sheetName val="Market data (by grade)"/>
      <sheetName val="programme"/>
      <sheetName val="Points"/>
      <sheetName val="Module1"/>
      <sheetName val="Module2"/>
      <sheetName val="Affecte noms ds nuages pts"/>
      <sheetName val="MERCADO"/>
      <sheetName val="Market_data_(by_grade)_(Euros)"/>
      <sheetName val="KEY"/>
      <sheetName val="Лист3"/>
      <sheetName val="точн2"/>
      <sheetName val="Форма1"/>
      <sheetName val="Форма2"/>
      <sheetName val="Total store list"/>
      <sheetName val="Data_graph_comp"/>
      <sheetName val="Salary_Summary"/>
      <sheetName val="Données_salariales"/>
      <sheetName val="Salaires_Comp"/>
      <sheetName val="Tab_points"/>
      <sheetName val="PPG_Data"/>
      <sheetName val="RPR_US_Prop"/>
      <sheetName val="sociétés_chimie"/>
      <sheetName val="sociétés_pharma"/>
      <sheetName val="Decision_form_ref_market_Pharma"/>
      <sheetName val="Decision_form_ref_market_AG"/>
      <sheetName val="Decision_form_ref_market_Corp"/>
      <sheetName val="Market_form"/>
      <sheetName val="Comp_form_AG"/>
      <sheetName val="Compar_form_Pharma"/>
      <sheetName val="Compar_form_Jobs_current"/>
      <sheetName val="Compar_form_Jobs_proposed"/>
      <sheetName val="Pha_SB_Comp_(1)_-_A3"/>
      <sheetName val="Pha_SB_Comp_(2)_-_A4"/>
      <sheetName val="Pha_SB_Comp_(4)_-_A4"/>
      <sheetName val="Pha_SB_Comp_(5)_-_A4"/>
      <sheetName val="Pha_TC_Comp_(1)_-_A3"/>
      <sheetName val="Pha_TC_Comp_(2)_-_A4"/>
      <sheetName val="Pha_TC_Comp_(4)_-_A4"/>
      <sheetName val="Pha_TC_Comp_(5)_-_A4"/>
      <sheetName val="Pha_TC_Comp_(1)_-_A3_(2)"/>
      <sheetName val="Pha_TDC_Comp"/>
      <sheetName val="Pha_TDC_Comp_(1)_-_A3"/>
      <sheetName val="Pha_TDC_Comp_(2)_-_A4"/>
      <sheetName val="Pha_TDC_Comp_(4)_-_A4"/>
      <sheetName val="Pha_TDC_Comp_(5)_-_A4"/>
      <sheetName val="Pha_SO_Comp_(1)_-_A3_Euro"/>
      <sheetName val="Pha_SO_Comp_(5)_-_A4#"/>
      <sheetName val="Pha_SO_Comp_(5)_-_A4_Euro"/>
      <sheetName val="Pha_SO_Comp_(2)_-_A4#"/>
      <sheetName val="Pha_SO_Comp_(2)_-_A4_Euro"/>
      <sheetName val="Pha_SO_Comp_(3)_-_A4#"/>
      <sheetName val="Pha_SO_Comp_(3)_-_A4_Euro"/>
      <sheetName val="Pha_2500"/>
      <sheetName val="Pha_2500_(2)"/>
      <sheetName val="Pha_2500_(3)"/>
      <sheetName val="Pha_2128_(2)"/>
      <sheetName val="Pha_2128_(3)"/>
      <sheetName val="Pha_1750_(2)"/>
      <sheetName val="Pha_1750_(3)"/>
      <sheetName val="Crop_2500_(2)"/>
      <sheetName val="Crop_2500_(3)"/>
      <sheetName val="Crop_1750_(2)"/>
      <sheetName val="Crop_1750_(3)"/>
      <sheetName val="Agro_SB_Comp_(2)_-_A4"/>
      <sheetName val="Agro_SB_Comp_(1)_-_A3"/>
      <sheetName val="Agro_SB_Comp_(4)_-_A4"/>
      <sheetName val="Agro_TC_Comp_(1)_-_A3"/>
      <sheetName val="Agro_TC_Comp_(2)_-_A4"/>
      <sheetName val="Agro_TC_Comp_(4)_-_A4"/>
      <sheetName val="Agro_TDC_Comp_(1)_-_A3"/>
      <sheetName val="Agro_TDC_Comp_(2)_-_A4"/>
      <sheetName val="Agro_TDC_Comp_(4)_-_A4"/>
      <sheetName val="Agro_SO_Comp_(1)_-_A3_Euro"/>
      <sheetName val="Agro_SO_Comp_(2)_-_A4#"/>
      <sheetName val="Agro_SO_Comp_(2)_-_A4_Euro"/>
      <sheetName val="Agro_SO_Comp_(3)_-_A4#"/>
      <sheetName val="Agro_SO_Comp_(3)_-_A4_Euro"/>
      <sheetName val="COMP_SB"/>
      <sheetName val="COMP_TC"/>
      <sheetName val="COMP_TDC"/>
      <sheetName val="SO_HMR_AG"/>
      <sheetName val="Corp_SB_Comp"/>
      <sheetName val="Corp_SB_Comp_(2)"/>
      <sheetName val="Corp_SB_Comp_(3)"/>
      <sheetName val="Corp_SB_Comp_(4)"/>
      <sheetName val="Corp_TC_Comp"/>
      <sheetName val="Corp_TC_Comp_(2)"/>
      <sheetName val="Corp_TC_Comp_(3)"/>
      <sheetName val="Corp_TC_Comp_(4)"/>
      <sheetName val="Corp_TDC_Comp"/>
      <sheetName val="Corp_TDC_Comp_(2)"/>
      <sheetName val="Corp_TDC_Comp_(3)"/>
      <sheetName val="Corp_TDC_Comp_(4)"/>
      <sheetName val="Corp_SO_Comp_(3)"/>
      <sheetName val="Base_d'éval_220799"/>
      <sheetName val="Base_évaluations"/>
      <sheetName val="GE_market_nonVorstand"/>
      <sheetName val="Agrevo_29-4"/>
      <sheetName val="HMR_data_29-4"/>
      <sheetName val="Data_All"/>
      <sheetName val="Rp_data_29-4"/>
      <sheetName val="TP_Data_,_non_validée"/>
      <sheetName val="Market_data_(by_grade)"/>
      <sheetName val="Affecte_noms_ds_nuages_pts"/>
      <sheetName val="Sheet1"/>
      <sheetName val="4"/>
      <sheetName val="Total"/>
      <sheetName val="Data HCM final"/>
      <sheetName val="Bonus RPA"/>
      <sheetName val="nkc"/>
      <sheetName val="DS-Thuong 6T dau"/>
      <sheetName val="List"/>
      <sheetName val="Market_data_(by_grade)_(Euros)1"/>
      <sheetName val="Total_store_list"/>
      <sheetName val="Data_graph_comp1"/>
      <sheetName val="Salary_Summary1"/>
      <sheetName val="Données_salariales1"/>
      <sheetName val="Salaires_Comp1"/>
      <sheetName val="Tab_points1"/>
      <sheetName val="PPG_Data1"/>
      <sheetName val="RPR_US_Prop1"/>
      <sheetName val="sociétés_chimie1"/>
      <sheetName val="sociétés_pharma1"/>
      <sheetName val="Decision_form_ref_market_Pharm1"/>
      <sheetName val="Decision_form_ref_market_AG1"/>
      <sheetName val="Decision_form_ref_market_Corp1"/>
      <sheetName val="Market_form1"/>
      <sheetName val="Comp_form_AG1"/>
      <sheetName val="Compar_form_Pharma1"/>
      <sheetName val="Compar_form_Jobs_current1"/>
      <sheetName val="Compar_form_Jobs_proposed1"/>
      <sheetName val="Pha_SB_Comp_(1)_-_A31"/>
      <sheetName val="Pha_SB_Comp_(2)_-_A41"/>
      <sheetName val="Pha_SB_Comp_(4)_-_A41"/>
      <sheetName val="Pha_SB_Comp_(5)_-_A41"/>
      <sheetName val="Pha_TC_Comp_(1)_-_A31"/>
      <sheetName val="Pha_TC_Comp_(2)_-_A41"/>
      <sheetName val="Pha_TC_Comp_(4)_-_A41"/>
      <sheetName val="Pha_TC_Comp_(5)_-_A41"/>
      <sheetName val="Pha_TC_Comp_(1)_-_A3_(2)1"/>
      <sheetName val="Pha_TDC_Comp1"/>
      <sheetName val="Pha_TDC_Comp_(1)_-_A31"/>
      <sheetName val="Pha_TDC_Comp_(2)_-_A41"/>
      <sheetName val="Pha_TDC_Comp_(4)_-_A41"/>
      <sheetName val="Pha_TDC_Comp_(5)_-_A41"/>
      <sheetName val="Pha_SO_Comp_(1)_-_A3_Euro1"/>
      <sheetName val="Pha_SO_Comp_(5)_-_A4#1"/>
      <sheetName val="Pha_SO_Comp_(5)_-_A4_Euro1"/>
      <sheetName val="Pha_SO_Comp_(2)_-_A4#1"/>
      <sheetName val="Pha_SO_Comp_(2)_-_A4_Euro1"/>
      <sheetName val="Pha_SO_Comp_(3)_-_A4#1"/>
      <sheetName val="Pha_SO_Comp_(3)_-_A4_Euro1"/>
      <sheetName val="Pha_25001"/>
      <sheetName val="Pha_2500_(2)1"/>
      <sheetName val="Pha_2500_(3)1"/>
      <sheetName val="Pha_2128_(2)1"/>
      <sheetName val="Pha_2128_(3)1"/>
      <sheetName val="Pha_1750_(2)1"/>
      <sheetName val="Pha_1750_(3)1"/>
      <sheetName val="Crop_2500_(2)1"/>
      <sheetName val="Crop_2500_(3)1"/>
      <sheetName val="Crop_1750_(2)1"/>
      <sheetName val="Crop_1750_(3)1"/>
      <sheetName val="Agro_SB_Comp_(2)_-_A41"/>
      <sheetName val="Agro_SB_Comp_(1)_-_A31"/>
      <sheetName val="Agro_SB_Comp_(4)_-_A41"/>
      <sheetName val="Agro_TC_Comp_(1)_-_A31"/>
      <sheetName val="Agro_TC_Comp_(2)_-_A41"/>
      <sheetName val="Agro_TC_Comp_(4)_-_A41"/>
      <sheetName val="Agro_TDC_Comp_(1)_-_A31"/>
      <sheetName val="Agro_TDC_Comp_(2)_-_A41"/>
      <sheetName val="Agro_TDC_Comp_(4)_-_A41"/>
      <sheetName val="Agro_SO_Comp_(1)_-_A3_Euro1"/>
      <sheetName val="Agro_SO_Comp_(2)_-_A4#1"/>
      <sheetName val="Agro_SO_Comp_(2)_-_A4_Euro1"/>
      <sheetName val="Agro_SO_Comp_(3)_-_A4#1"/>
      <sheetName val="Agro_SO_Comp_(3)_-_A4_Euro1"/>
      <sheetName val="COMP_SB1"/>
      <sheetName val="COMP_TC1"/>
      <sheetName val="COMP_TDC1"/>
      <sheetName val="SO_HMR_AG1"/>
      <sheetName val="Corp_SB_Comp1"/>
      <sheetName val="Corp_SB_Comp_(2)1"/>
      <sheetName val="Corp_SB_Comp_(3)1"/>
      <sheetName val="Corp_SB_Comp_(4)1"/>
      <sheetName val="Corp_TC_Comp1"/>
      <sheetName val="Corp_TC_Comp_(2)1"/>
      <sheetName val="Corp_TC_Comp_(3)1"/>
      <sheetName val="Corp_TC_Comp_(4)1"/>
      <sheetName val="Corp_TDC_Comp1"/>
      <sheetName val="Corp_TDC_Comp_(2)1"/>
      <sheetName val="Corp_TDC_Comp_(3)1"/>
      <sheetName val="Corp_TDC_Comp_(4)1"/>
      <sheetName val="Corp_SO_Comp_(3)1"/>
      <sheetName val="Base_d'éval_2207991"/>
      <sheetName val="Base_évaluations1"/>
      <sheetName val="GE_market_nonVorstand1"/>
      <sheetName val="Agrevo_29-41"/>
      <sheetName val="HMR_data_29-41"/>
      <sheetName val="Data_All1"/>
      <sheetName val="Rp_data_29-41"/>
      <sheetName val="TP_Data_,_non_validée1"/>
      <sheetName val="Market_data_(by_grade)1"/>
      <sheetName val="Affecte_noms_ds_nuages_pts1"/>
      <sheetName val="Stock"/>
      <sheetName val="Marchés"/>
      <sheetName val="hors FS BDD"/>
      <sheetName val="FS BDD"/>
      <sheetName val="Tables"/>
      <sheetName val="Levels 1&amp;2 sans modicaftion"/>
      <sheetName val="Market_data_(by_grade)_(Euros)2"/>
      <sheetName val="Total_store_list1"/>
      <sheetName val="DS-Thuong_6T_dau"/>
      <sheetName val="Data_HCM_final"/>
      <sheetName val="Launch Volumes"/>
      <sheetName val="Data_graph_comp2"/>
      <sheetName val="Market_data_(by_grade)_(Euros)3"/>
      <sheetName val="Salary_Summary2"/>
      <sheetName val="Données_salariales2"/>
      <sheetName val="Salaires_Comp2"/>
      <sheetName val="Tab_points2"/>
      <sheetName val="PPG_Data2"/>
      <sheetName val="RPR_US_Prop2"/>
      <sheetName val="sociétés_chimie2"/>
      <sheetName val="sociétés_pharma2"/>
      <sheetName val="Decision_form_ref_market_Pharm2"/>
      <sheetName val="Decision_form_ref_market_AG2"/>
      <sheetName val="Decision_form_ref_market_Corp2"/>
      <sheetName val="Market_form2"/>
      <sheetName val="Comp_form_AG2"/>
      <sheetName val="Compar_form_Pharma2"/>
      <sheetName val="Compar_form_Jobs_current2"/>
      <sheetName val="Compar_form_Jobs_proposed2"/>
      <sheetName val="Pha_SB_Comp_(1)_-_A32"/>
      <sheetName val="Pha_SB_Comp_(2)_-_A42"/>
      <sheetName val="Pha_SB_Comp_(4)_-_A42"/>
      <sheetName val="Pha_SB_Comp_(5)_-_A42"/>
      <sheetName val="Pha_TC_Comp_(1)_-_A32"/>
      <sheetName val="Pha_TC_Comp_(2)_-_A42"/>
      <sheetName val="Pha_TC_Comp_(4)_-_A42"/>
      <sheetName val="Pha_TC_Comp_(5)_-_A42"/>
      <sheetName val="Pha_TC_Comp_(1)_-_A3_(2)2"/>
      <sheetName val="Pha_TDC_Comp2"/>
      <sheetName val="Pha_TDC_Comp_(1)_-_A32"/>
      <sheetName val="Pha_TDC_Comp_(2)_-_A42"/>
      <sheetName val="Pha_TDC_Comp_(4)_-_A42"/>
      <sheetName val="Pha_TDC_Comp_(5)_-_A42"/>
      <sheetName val="Pha_SO_Comp_(1)_-_A3_Euro2"/>
      <sheetName val="Pha_SO_Comp_(5)_-_A4#2"/>
      <sheetName val="Pha_SO_Comp_(5)_-_A4_Euro2"/>
      <sheetName val="Pha_SO_Comp_(2)_-_A4#2"/>
      <sheetName val="Pha_SO_Comp_(2)_-_A4_Euro2"/>
      <sheetName val="Pha_SO_Comp_(3)_-_A4#2"/>
      <sheetName val="Pha_SO_Comp_(3)_-_A4_Euro2"/>
      <sheetName val="Pha_25002"/>
      <sheetName val="Pha_2500_(2)2"/>
      <sheetName val="Pha_2500_(3)2"/>
      <sheetName val="Pha_2128_(2)2"/>
      <sheetName val="Pha_2128_(3)2"/>
      <sheetName val="Pha_1750_(2)2"/>
      <sheetName val="Pha_1750_(3)2"/>
      <sheetName val="Crop_2500_(2)2"/>
      <sheetName val="Crop_2500_(3)2"/>
      <sheetName val="Crop_1750_(2)2"/>
      <sheetName val="Crop_1750_(3)2"/>
      <sheetName val="Agro_SB_Comp_(2)_-_A42"/>
      <sheetName val="Agro_SB_Comp_(1)_-_A32"/>
      <sheetName val="Agro_SB_Comp_(4)_-_A42"/>
      <sheetName val="Agro_TC_Comp_(1)_-_A32"/>
      <sheetName val="Agro_TC_Comp_(2)_-_A42"/>
      <sheetName val="Agro_TC_Comp_(4)_-_A42"/>
      <sheetName val="Agro_TDC_Comp_(1)_-_A32"/>
      <sheetName val="Agro_TDC_Comp_(2)_-_A42"/>
      <sheetName val="Agro_TDC_Comp_(4)_-_A42"/>
      <sheetName val="Agro_SO_Comp_(1)_-_A3_Euro2"/>
      <sheetName val="Agro_SO_Comp_(2)_-_A4#2"/>
      <sheetName val="Agro_SO_Comp_(2)_-_A4_Euro2"/>
      <sheetName val="Agro_SO_Comp_(3)_-_A4#2"/>
      <sheetName val="Agro_SO_Comp_(3)_-_A4_Euro2"/>
      <sheetName val="COMP_SB2"/>
      <sheetName val="COMP_TC2"/>
      <sheetName val="COMP_TDC2"/>
      <sheetName val="SO_HMR_AG2"/>
      <sheetName val="Corp_SB_Comp2"/>
      <sheetName val="Corp_SB_Comp_(2)2"/>
      <sheetName val="Corp_SB_Comp_(3)2"/>
      <sheetName val="Corp_SB_Comp_(4)2"/>
      <sheetName val="Corp_TC_Comp2"/>
      <sheetName val="Corp_TC_Comp_(2)2"/>
      <sheetName val="Corp_TC_Comp_(3)2"/>
      <sheetName val="Corp_TC_Comp_(4)2"/>
      <sheetName val="Corp_TDC_Comp2"/>
      <sheetName val="Corp_TDC_Comp_(2)2"/>
      <sheetName val="Corp_TDC_Comp_(3)2"/>
      <sheetName val="Corp_TDC_Comp_(4)2"/>
      <sheetName val="Corp_SO_Comp_(3)2"/>
      <sheetName val="Base_d'éval_2207992"/>
      <sheetName val="Base_évaluations2"/>
      <sheetName val="GE_market_nonVorstand2"/>
      <sheetName val="Agrevo_29-42"/>
      <sheetName val="HMR_data_29-42"/>
      <sheetName val="Data_All2"/>
      <sheetName val="Rp_data_29-42"/>
      <sheetName val="TP_Data_,_non_validée2"/>
      <sheetName val="Market_data_(by_grade)2"/>
      <sheetName val="Affecte_noms_ds_nuages_pts2"/>
      <sheetName val="Total_store_list2"/>
      <sheetName val="DS-Thuong_6T_dau1"/>
      <sheetName val="Data_HCM_final1"/>
      <sheetName val="Bonus_RPA"/>
      <sheetName val="hors_FS_BDD"/>
      <sheetName val="FS_BDD"/>
      <sheetName val="Levels_1&amp;2_sans_modicaftion"/>
      <sheetName val="Launch_Volumes"/>
      <sheetName val="Data_graph_comp3"/>
      <sheetName val="Market_data_(by_grade)_(Euros)4"/>
      <sheetName val="Salary_Summary3"/>
      <sheetName val="Données_salariales3"/>
      <sheetName val="Salaires_Comp3"/>
      <sheetName val="Tab_points3"/>
      <sheetName val="PPG_Data3"/>
      <sheetName val="RPR_US_Prop3"/>
      <sheetName val="sociétés_chimie3"/>
      <sheetName val="sociétés_pharma3"/>
      <sheetName val="Decision_form_ref_market_Pharm3"/>
      <sheetName val="Decision_form_ref_market_AG3"/>
      <sheetName val="Decision_form_ref_market_Corp3"/>
      <sheetName val="Market_form3"/>
      <sheetName val="Comp_form_AG3"/>
      <sheetName val="Compar_form_Pharma3"/>
      <sheetName val="Compar_form_Jobs_current3"/>
      <sheetName val="Compar_form_Jobs_proposed3"/>
      <sheetName val="Pha_SB_Comp_(1)_-_A33"/>
      <sheetName val="Pha_SB_Comp_(2)_-_A43"/>
      <sheetName val="Pha_SB_Comp_(4)_-_A43"/>
      <sheetName val="Pha_SB_Comp_(5)_-_A43"/>
      <sheetName val="Pha_TC_Comp_(1)_-_A33"/>
      <sheetName val="Pha_TC_Comp_(2)_-_A43"/>
      <sheetName val="Pha_TC_Comp_(4)_-_A43"/>
      <sheetName val="Pha_TC_Comp_(5)_-_A43"/>
      <sheetName val="Pha_TC_Comp_(1)_-_A3_(2)3"/>
      <sheetName val="Pha_TDC_Comp3"/>
      <sheetName val="Pha_TDC_Comp_(1)_-_A33"/>
      <sheetName val="Pha_TDC_Comp_(2)_-_A43"/>
      <sheetName val="Pha_TDC_Comp_(4)_-_A43"/>
      <sheetName val="Pha_TDC_Comp_(5)_-_A43"/>
      <sheetName val="Pha_SO_Comp_(1)_-_A3_Euro3"/>
      <sheetName val="Pha_SO_Comp_(5)_-_A4#3"/>
      <sheetName val="Pha_SO_Comp_(5)_-_A4_Euro3"/>
      <sheetName val="Pha_SO_Comp_(2)_-_A4#3"/>
      <sheetName val="Pha_SO_Comp_(2)_-_A4_Euro3"/>
      <sheetName val="Pha_SO_Comp_(3)_-_A4#3"/>
      <sheetName val="Pha_SO_Comp_(3)_-_A4_Euro3"/>
      <sheetName val="Pha_25003"/>
      <sheetName val="Pha_2500_(2)3"/>
      <sheetName val="Pha_2500_(3)3"/>
      <sheetName val="Pha_2128_(2)3"/>
      <sheetName val="Pha_2128_(3)3"/>
      <sheetName val="Pha_1750_(2)3"/>
      <sheetName val="Pha_1750_(3)3"/>
      <sheetName val="Crop_2500_(2)3"/>
      <sheetName val="Crop_2500_(3)3"/>
      <sheetName val="Crop_1750_(2)3"/>
      <sheetName val="Crop_1750_(3)3"/>
      <sheetName val="Agro_SB_Comp_(2)_-_A43"/>
      <sheetName val="Agro_SB_Comp_(1)_-_A33"/>
      <sheetName val="Agro_SB_Comp_(4)_-_A43"/>
      <sheetName val="Agro_TC_Comp_(1)_-_A33"/>
      <sheetName val="Agro_TC_Comp_(2)_-_A43"/>
      <sheetName val="Agro_TC_Comp_(4)_-_A43"/>
      <sheetName val="Agro_TDC_Comp_(1)_-_A33"/>
      <sheetName val="Agro_TDC_Comp_(2)_-_A43"/>
      <sheetName val="Agro_TDC_Comp_(4)_-_A43"/>
      <sheetName val="Agro_SO_Comp_(1)_-_A3_Euro3"/>
      <sheetName val="Agro_SO_Comp_(2)_-_A4#3"/>
      <sheetName val="Agro_SO_Comp_(2)_-_A4_Euro3"/>
      <sheetName val="Agro_SO_Comp_(3)_-_A4#3"/>
      <sheetName val="Agro_SO_Comp_(3)_-_A4_Euro3"/>
      <sheetName val="COMP_SB3"/>
      <sheetName val="COMP_TC3"/>
      <sheetName val="COMP_TDC3"/>
      <sheetName val="SO_HMR_AG3"/>
      <sheetName val="Corp_SB_Comp3"/>
      <sheetName val="Corp_SB_Comp_(2)3"/>
      <sheetName val="Corp_SB_Comp_(3)3"/>
      <sheetName val="Corp_SB_Comp_(4)3"/>
      <sheetName val="Corp_TC_Comp3"/>
      <sheetName val="Corp_TC_Comp_(2)3"/>
      <sheetName val="Corp_TC_Comp_(3)3"/>
      <sheetName val="Corp_TC_Comp_(4)3"/>
      <sheetName val="Corp_TDC_Comp3"/>
      <sheetName val="Corp_TDC_Comp_(2)3"/>
      <sheetName val="Corp_TDC_Comp_(3)3"/>
      <sheetName val="Corp_TDC_Comp_(4)3"/>
      <sheetName val="Corp_SO_Comp_(3)3"/>
      <sheetName val="Base_d'éval_2207993"/>
      <sheetName val="Base_évaluations3"/>
      <sheetName val="GE_market_nonVorstand3"/>
      <sheetName val="Agrevo_29-43"/>
      <sheetName val="HMR_data_29-43"/>
      <sheetName val="Data_All3"/>
      <sheetName val="Rp_data_29-43"/>
      <sheetName val="TP_Data_,_non_validée3"/>
      <sheetName val="Market_data_(by_grade)3"/>
      <sheetName val="Affecte_noms_ds_nuages_pts3"/>
      <sheetName val="Total_store_list3"/>
      <sheetName val="DS-Thuong_6T_dau2"/>
      <sheetName val="Data_HCM_final2"/>
      <sheetName val="Bonus_RPA1"/>
      <sheetName val="hors_FS_BDD1"/>
      <sheetName val="FS_BDD1"/>
      <sheetName val="Levels_1&amp;2_sans_modicaftion1"/>
      <sheetName val="Launch_Volumes1"/>
      <sheetName val="CANDOI"/>
      <sheetName val="MATK"/>
      <sheetName val="CTGS"/>
      <sheetName val="Data_graph_comp5"/>
      <sheetName val="Market_data_(by_grade)_(Euros)6"/>
      <sheetName val="Salary_Summary5"/>
      <sheetName val="Données_salariales5"/>
      <sheetName val="Salaires_Comp5"/>
      <sheetName val="Tab_points5"/>
      <sheetName val="PPG_Data5"/>
      <sheetName val="RPR_US_Prop5"/>
      <sheetName val="sociétés_chimie5"/>
      <sheetName val="sociétés_pharma5"/>
      <sheetName val="Decision_form_ref_market_Pharm5"/>
      <sheetName val="Decision_form_ref_market_AG5"/>
      <sheetName val="Decision_form_ref_market_Corp5"/>
      <sheetName val="Market_form5"/>
      <sheetName val="Comp_form_AG5"/>
      <sheetName val="Compar_form_Pharma5"/>
      <sheetName val="Compar_form_Jobs_current5"/>
      <sheetName val="Compar_form_Jobs_proposed5"/>
      <sheetName val="Pha_SB_Comp_(1)_-_A35"/>
      <sheetName val="Pha_SB_Comp_(2)_-_A45"/>
      <sheetName val="Pha_SB_Comp_(4)_-_A45"/>
      <sheetName val="Pha_SB_Comp_(5)_-_A45"/>
      <sheetName val="Pha_TC_Comp_(1)_-_A35"/>
      <sheetName val="Pha_TC_Comp_(2)_-_A45"/>
      <sheetName val="Pha_TC_Comp_(4)_-_A45"/>
      <sheetName val="Pha_TC_Comp_(5)_-_A45"/>
      <sheetName val="Pha_TC_Comp_(1)_-_A3_(2)5"/>
      <sheetName val="Pha_TDC_Comp5"/>
      <sheetName val="Pha_TDC_Comp_(1)_-_A35"/>
      <sheetName val="Pha_TDC_Comp_(2)_-_A45"/>
      <sheetName val="Pha_TDC_Comp_(4)_-_A45"/>
      <sheetName val="Pha_TDC_Comp_(5)_-_A45"/>
      <sheetName val="Pha_SO_Comp_(1)_-_A3_Euro5"/>
      <sheetName val="Pha_SO_Comp_(5)_-_A4#5"/>
      <sheetName val="Pha_SO_Comp_(5)_-_A4_Euro5"/>
      <sheetName val="Pha_SO_Comp_(2)_-_A4#5"/>
      <sheetName val="Pha_SO_Comp_(2)_-_A4_Euro5"/>
      <sheetName val="Pha_SO_Comp_(3)_-_A4#5"/>
      <sheetName val="Pha_SO_Comp_(3)_-_A4_Euro5"/>
      <sheetName val="Pha_25005"/>
      <sheetName val="Pha_2500_(2)5"/>
      <sheetName val="Pha_2500_(3)5"/>
      <sheetName val="Pha_2128_(2)5"/>
      <sheetName val="Pha_2128_(3)5"/>
      <sheetName val="Pha_1750_(2)5"/>
      <sheetName val="Pha_1750_(3)5"/>
      <sheetName val="Crop_2500_(2)5"/>
      <sheetName val="Crop_2500_(3)5"/>
      <sheetName val="Crop_1750_(2)5"/>
      <sheetName val="Crop_1750_(3)5"/>
      <sheetName val="Agro_SB_Comp_(2)_-_A45"/>
      <sheetName val="Agro_SB_Comp_(1)_-_A35"/>
      <sheetName val="Agro_SB_Comp_(4)_-_A45"/>
      <sheetName val="Agro_TC_Comp_(1)_-_A35"/>
      <sheetName val="Agro_TC_Comp_(2)_-_A45"/>
      <sheetName val="Agro_TC_Comp_(4)_-_A45"/>
      <sheetName val="Agro_TDC_Comp_(1)_-_A35"/>
      <sheetName val="Agro_TDC_Comp_(2)_-_A45"/>
      <sheetName val="Agro_TDC_Comp_(4)_-_A45"/>
      <sheetName val="Agro_SO_Comp_(1)_-_A3_Euro5"/>
      <sheetName val="Agro_SO_Comp_(2)_-_A4#5"/>
      <sheetName val="Agro_SO_Comp_(2)_-_A4_Euro5"/>
      <sheetName val="Agro_SO_Comp_(3)_-_A4#5"/>
      <sheetName val="Agro_SO_Comp_(3)_-_A4_Euro5"/>
      <sheetName val="COMP_SB5"/>
      <sheetName val="COMP_TC5"/>
      <sheetName val="COMP_TDC5"/>
      <sheetName val="SO_HMR_AG5"/>
      <sheetName val="Corp_SB_Comp5"/>
      <sheetName val="Corp_SB_Comp_(2)5"/>
      <sheetName val="Corp_SB_Comp_(3)5"/>
      <sheetName val="Corp_SB_Comp_(4)5"/>
      <sheetName val="Corp_TC_Comp5"/>
      <sheetName val="Corp_TC_Comp_(2)5"/>
      <sheetName val="Corp_TC_Comp_(3)5"/>
      <sheetName val="Corp_TC_Comp_(4)5"/>
      <sheetName val="Corp_TDC_Comp5"/>
      <sheetName val="Corp_TDC_Comp_(2)5"/>
      <sheetName val="Corp_TDC_Comp_(3)5"/>
      <sheetName val="Corp_TDC_Comp_(4)5"/>
      <sheetName val="Corp_SO_Comp_(3)5"/>
      <sheetName val="Base_d'éval_2207995"/>
      <sheetName val="Base_évaluations5"/>
      <sheetName val="GE_market_nonVorstand5"/>
      <sheetName val="Agrevo_29-45"/>
      <sheetName val="HMR_data_29-45"/>
      <sheetName val="Data_All5"/>
      <sheetName val="Rp_data_29-45"/>
      <sheetName val="TP_Data_,_non_validée5"/>
      <sheetName val="Market_data_(by_grade)5"/>
      <sheetName val="Affecte_noms_ds_nuages_pts5"/>
      <sheetName val="Total_store_list5"/>
      <sheetName val="DS-Thuong_6T_dau4"/>
      <sheetName val="Data_HCM_final4"/>
      <sheetName val="Bonus_RPA3"/>
      <sheetName val="hors_FS_BDD3"/>
      <sheetName val="FS_BDD3"/>
      <sheetName val="Levels_1&amp;2_sans_modicaftion3"/>
      <sheetName val="Launch_Volumes3"/>
      <sheetName val="Data_graph_comp4"/>
      <sheetName val="Market_data_(by_grade)_(Euros)5"/>
      <sheetName val="Salary_Summary4"/>
      <sheetName val="Données_salariales4"/>
      <sheetName val="Salaires_Comp4"/>
      <sheetName val="Tab_points4"/>
      <sheetName val="PPG_Data4"/>
      <sheetName val="RPR_US_Prop4"/>
      <sheetName val="sociétés_chimie4"/>
      <sheetName val="sociétés_pharma4"/>
      <sheetName val="Decision_form_ref_market_Pharm4"/>
      <sheetName val="Decision_form_ref_market_AG4"/>
      <sheetName val="Decision_form_ref_market_Corp4"/>
      <sheetName val="Market_form4"/>
      <sheetName val="Comp_form_AG4"/>
      <sheetName val="Compar_form_Pharma4"/>
      <sheetName val="Compar_form_Jobs_current4"/>
      <sheetName val="Compar_form_Jobs_proposed4"/>
      <sheetName val="Pha_SB_Comp_(1)_-_A34"/>
      <sheetName val="Pha_SB_Comp_(2)_-_A44"/>
      <sheetName val="Pha_SB_Comp_(4)_-_A44"/>
      <sheetName val="Pha_SB_Comp_(5)_-_A44"/>
      <sheetName val="Pha_TC_Comp_(1)_-_A34"/>
      <sheetName val="Pha_TC_Comp_(2)_-_A44"/>
      <sheetName val="Pha_TC_Comp_(4)_-_A44"/>
      <sheetName val="Pha_TC_Comp_(5)_-_A44"/>
      <sheetName val="Pha_TC_Comp_(1)_-_A3_(2)4"/>
      <sheetName val="Pha_TDC_Comp4"/>
      <sheetName val="Pha_TDC_Comp_(1)_-_A34"/>
      <sheetName val="Pha_TDC_Comp_(2)_-_A44"/>
      <sheetName val="Pha_TDC_Comp_(4)_-_A44"/>
      <sheetName val="Pha_TDC_Comp_(5)_-_A44"/>
      <sheetName val="Pha_SO_Comp_(1)_-_A3_Euro4"/>
      <sheetName val="Pha_SO_Comp_(5)_-_A4#4"/>
      <sheetName val="Pha_SO_Comp_(5)_-_A4_Euro4"/>
      <sheetName val="Pha_SO_Comp_(2)_-_A4#4"/>
      <sheetName val="Pha_SO_Comp_(2)_-_A4_Euro4"/>
      <sheetName val="Pha_SO_Comp_(3)_-_A4#4"/>
      <sheetName val="Pha_SO_Comp_(3)_-_A4_Euro4"/>
      <sheetName val="Pha_25004"/>
      <sheetName val="Pha_2500_(2)4"/>
      <sheetName val="Pha_2500_(3)4"/>
      <sheetName val="Pha_2128_(2)4"/>
      <sheetName val="Pha_2128_(3)4"/>
      <sheetName val="Pha_1750_(2)4"/>
      <sheetName val="Pha_1750_(3)4"/>
      <sheetName val="Crop_2500_(2)4"/>
      <sheetName val="Crop_2500_(3)4"/>
      <sheetName val="Crop_1750_(2)4"/>
      <sheetName val="Crop_1750_(3)4"/>
      <sheetName val="Agro_SB_Comp_(2)_-_A44"/>
      <sheetName val="Agro_SB_Comp_(1)_-_A34"/>
      <sheetName val="Agro_SB_Comp_(4)_-_A44"/>
      <sheetName val="Agro_TC_Comp_(1)_-_A34"/>
      <sheetName val="Agro_TC_Comp_(2)_-_A44"/>
      <sheetName val="Agro_TC_Comp_(4)_-_A44"/>
      <sheetName val="Agro_TDC_Comp_(1)_-_A34"/>
      <sheetName val="Agro_TDC_Comp_(2)_-_A44"/>
      <sheetName val="Agro_TDC_Comp_(4)_-_A44"/>
      <sheetName val="Agro_SO_Comp_(1)_-_A3_Euro4"/>
      <sheetName val="Agro_SO_Comp_(2)_-_A4#4"/>
      <sheetName val="Agro_SO_Comp_(2)_-_A4_Euro4"/>
      <sheetName val="Agro_SO_Comp_(3)_-_A4#4"/>
      <sheetName val="Agro_SO_Comp_(3)_-_A4_Euro4"/>
      <sheetName val="COMP_SB4"/>
      <sheetName val="COMP_TC4"/>
      <sheetName val="COMP_TDC4"/>
      <sheetName val="SO_HMR_AG4"/>
      <sheetName val="Corp_SB_Comp4"/>
      <sheetName val="Corp_SB_Comp_(2)4"/>
      <sheetName val="Corp_SB_Comp_(3)4"/>
      <sheetName val="Corp_SB_Comp_(4)4"/>
      <sheetName val="Corp_TC_Comp4"/>
      <sheetName val="Corp_TC_Comp_(2)4"/>
      <sheetName val="Corp_TC_Comp_(3)4"/>
      <sheetName val="Corp_TC_Comp_(4)4"/>
      <sheetName val="Corp_TDC_Comp4"/>
      <sheetName val="Corp_TDC_Comp_(2)4"/>
      <sheetName val="Corp_TDC_Comp_(3)4"/>
      <sheetName val="Corp_TDC_Comp_(4)4"/>
      <sheetName val="Corp_SO_Comp_(3)4"/>
      <sheetName val="Base_d'éval_2207994"/>
      <sheetName val="Base_évaluations4"/>
      <sheetName val="GE_market_nonVorstand4"/>
      <sheetName val="Agrevo_29-44"/>
      <sheetName val="HMR_data_29-44"/>
      <sheetName val="Data_All4"/>
      <sheetName val="Rp_data_29-44"/>
      <sheetName val="TP_Data_,_non_validée4"/>
      <sheetName val="Market_data_(by_grade)4"/>
      <sheetName val="Affecte_noms_ds_nuages_pts4"/>
      <sheetName val="Total_store_list4"/>
      <sheetName val="DS-Thuong_6T_dau3"/>
      <sheetName val="Data_HCM_final3"/>
      <sheetName val="Bonus_RPA2"/>
      <sheetName val="hors_FS_BDD2"/>
      <sheetName val="FS_BDD2"/>
      <sheetName val="Levels_1&amp;2_sans_modicaftion2"/>
      <sheetName val="Launch_Volumes2"/>
    </sheetNames>
    <sheetDataSet>
      <sheetData sheetId="0" refreshError="1"/>
      <sheetData sheetId="1" refreshError="1">
        <row r="4">
          <cell r="B4" t="str">
            <v>Work</v>
          </cell>
          <cell r="C4" t="str">
            <v>Hay
Mid-</v>
          </cell>
          <cell r="D4" t="str">
            <v>Market
data</v>
          </cell>
          <cell r="E4" t="str">
            <v>Salaire de base</v>
          </cell>
          <cell r="F4">
            <v>0</v>
          </cell>
          <cell r="G4">
            <v>0</v>
          </cell>
          <cell r="H4" t="str">
            <v>Bonus (kF)</v>
          </cell>
          <cell r="I4">
            <v>0</v>
          </cell>
          <cell r="J4">
            <v>0</v>
          </cell>
          <cell r="K4" t="str">
            <v>Bonus (%)</v>
          </cell>
          <cell r="L4">
            <v>0</v>
          </cell>
          <cell r="M4">
            <v>0</v>
          </cell>
          <cell r="N4">
            <v>0</v>
          </cell>
          <cell r="O4" t="str">
            <v>Rém. Espèces</v>
          </cell>
          <cell r="P4">
            <v>0</v>
          </cell>
          <cell r="Q4">
            <v>0</v>
          </cell>
          <cell r="R4" t="str">
            <v>LTI Values</v>
          </cell>
          <cell r="S4">
            <v>0</v>
          </cell>
          <cell r="T4">
            <v>0</v>
          </cell>
          <cell r="U4" t="str">
            <v>Stock-option
grant equivalent</v>
          </cell>
          <cell r="V4">
            <v>0</v>
          </cell>
          <cell r="W4">
            <v>0</v>
          </cell>
          <cell r="X4">
            <v>0</v>
          </cell>
          <cell r="Y4" t="str">
            <v>Rém. Totale Directe</v>
          </cell>
        </row>
        <row r="5">
          <cell r="B5" t="str">
            <v>level</v>
          </cell>
          <cell r="C5" t="str">
            <v>point</v>
          </cell>
          <cell r="D5" t="str">
            <v>used</v>
          </cell>
          <cell r="E5">
            <v>25</v>
          </cell>
          <cell r="F5">
            <v>50</v>
          </cell>
          <cell r="G5">
            <v>75</v>
          </cell>
          <cell r="H5">
            <v>25</v>
          </cell>
          <cell r="I5">
            <v>50</v>
          </cell>
          <cell r="J5">
            <v>75</v>
          </cell>
          <cell r="K5">
            <v>25</v>
          </cell>
          <cell r="L5">
            <v>50</v>
          </cell>
          <cell r="M5">
            <v>75</v>
          </cell>
          <cell r="N5" t="str">
            <v>%</v>
          </cell>
          <cell r="O5">
            <v>25</v>
          </cell>
          <cell r="P5">
            <v>50</v>
          </cell>
          <cell r="Q5">
            <v>75</v>
          </cell>
          <cell r="R5">
            <v>25</v>
          </cell>
          <cell r="S5">
            <v>50</v>
          </cell>
          <cell r="T5">
            <v>75</v>
          </cell>
          <cell r="U5">
            <v>25</v>
          </cell>
          <cell r="V5">
            <v>50</v>
          </cell>
          <cell r="W5">
            <v>75</v>
          </cell>
          <cell r="X5" t="str">
            <v>%</v>
          </cell>
          <cell r="Y5">
            <v>25</v>
          </cell>
          <cell r="Z5">
            <v>50</v>
          </cell>
          <cell r="AA5">
            <v>75</v>
          </cell>
        </row>
        <row r="6">
          <cell r="B6" t="str">
            <v>0A</v>
          </cell>
          <cell r="C6">
            <v>8200</v>
          </cell>
          <cell r="D6">
            <v>0</v>
          </cell>
          <cell r="E6">
            <v>545.46252214058757</v>
          </cell>
          <cell r="F6">
            <v>676.72111117441807</v>
          </cell>
          <cell r="G6">
            <v>816.66929321048838</v>
          </cell>
          <cell r="H6">
            <v>263.58432106793623</v>
          </cell>
          <cell r="I6">
            <v>449.41965211583346</v>
          </cell>
          <cell r="J6">
            <v>950.36706624494764</v>
          </cell>
          <cell r="K6">
            <v>0.38</v>
          </cell>
          <cell r="L6">
            <v>0.65</v>
          </cell>
          <cell r="M6">
            <v>1.35</v>
          </cell>
          <cell r="N6">
            <v>1</v>
          </cell>
          <cell r="O6">
            <v>874.59991322541941</v>
          </cell>
          <cell r="P6">
            <v>1126.1407632902515</v>
          </cell>
          <cell r="Q6">
            <v>1697.0622684374009</v>
          </cell>
          <cell r="R6">
            <v>254.68830328075634</v>
          </cell>
          <cell r="S6">
            <v>398.01491929705242</v>
          </cell>
          <cell r="T6">
            <v>549.17809849121784</v>
          </cell>
          <cell r="U6">
            <v>783.65631778694251</v>
          </cell>
          <cell r="V6">
            <v>1224.3598838687049</v>
          </cell>
          <cell r="W6">
            <v>1689.6042662180053</v>
          </cell>
          <cell r="X6">
            <v>1</v>
          </cell>
          <cell r="Y6">
            <v>1130.5255685868919</v>
          </cell>
          <cell r="Z6">
            <v>1524.9805839744481</v>
          </cell>
          <cell r="AA6">
            <v>2245.6216908882607</v>
          </cell>
        </row>
        <row r="7">
          <cell r="B7" t="str">
            <v>0B</v>
          </cell>
          <cell r="C7">
            <v>5999.5</v>
          </cell>
          <cell r="D7" t="str">
            <v>Pharma</v>
          </cell>
          <cell r="E7">
            <v>390.87923610074523</v>
          </cell>
          <cell r="F7">
            <v>462.68271511925184</v>
          </cell>
          <cell r="G7">
            <v>532.80925513732632</v>
          </cell>
          <cell r="H7">
            <v>147.57063203803486</v>
          </cell>
          <cell r="I7">
            <v>216.47758005579493</v>
          </cell>
          <cell r="J7">
            <v>353.68168009115794</v>
          </cell>
          <cell r="K7">
            <v>0.32</v>
          </cell>
          <cell r="L7">
            <v>0.46</v>
          </cell>
          <cell r="M7">
            <v>0.76</v>
          </cell>
          <cell r="N7">
            <v>1</v>
          </cell>
          <cell r="O7">
            <v>574.2753831480137</v>
          </cell>
          <cell r="P7">
            <v>679.16029517504683</v>
          </cell>
          <cell r="Q7">
            <v>851.42766521944702</v>
          </cell>
          <cell r="R7">
            <v>254.02452625328817</v>
          </cell>
          <cell r="S7">
            <v>396.86868347163204</v>
          </cell>
          <cell r="T7">
            <v>547.5692693369848</v>
          </cell>
          <cell r="U7">
            <v>781.59561357970483</v>
          </cell>
          <cell r="V7">
            <v>1221.079470621476</v>
          </cell>
          <cell r="W7">
            <v>1685.0849079857298</v>
          </cell>
          <cell r="X7">
            <v>0.95</v>
          </cell>
          <cell r="Y7">
            <v>783.78014706825138</v>
          </cell>
          <cell r="Z7">
            <v>1041.2702337235485</v>
          </cell>
          <cell r="AA7">
            <v>1365.9047048008488</v>
          </cell>
        </row>
        <row r="8">
          <cell r="B8" t="str">
            <v>0C</v>
          </cell>
          <cell r="C8">
            <v>4911.5</v>
          </cell>
          <cell r="D8" t="str">
            <v>Extrapolation</v>
          </cell>
          <cell r="E8">
            <v>322.73453308318159</v>
          </cell>
          <cell r="F8">
            <v>383.40923509881992</v>
          </cell>
          <cell r="G8">
            <v>447.89516211544048</v>
          </cell>
          <cell r="H8">
            <v>109.00103502809392</v>
          </cell>
          <cell r="I8">
            <v>157.78471504066744</v>
          </cell>
          <cell r="J8">
            <v>230.80778605948839</v>
          </cell>
          <cell r="K8">
            <v>0.28000000000000003</v>
          </cell>
          <cell r="L8">
            <v>0.41</v>
          </cell>
          <cell r="M8">
            <v>0.6</v>
          </cell>
          <cell r="N8">
            <v>1</v>
          </cell>
          <cell r="O8">
            <v>462.07291911909471</v>
          </cell>
          <cell r="P8">
            <v>541.19395013948736</v>
          </cell>
          <cell r="Q8">
            <v>646.53620916663829</v>
          </cell>
          <cell r="R8">
            <v>195.37836596406544</v>
          </cell>
          <cell r="S8">
            <v>305.18203865627106</v>
          </cell>
          <cell r="T8">
            <v>421.17183375367136</v>
          </cell>
          <cell r="U8">
            <v>600.82713860453362</v>
          </cell>
          <cell r="V8">
            <v>938.74407498829316</v>
          </cell>
          <cell r="W8">
            <v>1295.4771336878532</v>
          </cell>
          <cell r="X8">
            <v>0.86</v>
          </cell>
          <cell r="Y8">
            <v>548.67863279182029</v>
          </cell>
          <cell r="Z8">
            <v>761.5745608245478</v>
          </cell>
          <cell r="AA8">
            <v>988.57722715386092</v>
          </cell>
        </row>
        <row r="9">
          <cell r="B9" t="str">
            <v>0D</v>
          </cell>
          <cell r="C9">
            <v>3951.5</v>
          </cell>
          <cell r="D9">
            <v>0</v>
          </cell>
          <cell r="E9">
            <v>246.3575840634962</v>
          </cell>
          <cell r="F9">
            <v>304.28820407842727</v>
          </cell>
          <cell r="G9">
            <v>366.79229409453706</v>
          </cell>
          <cell r="H9">
            <v>76.376949019685398</v>
          </cell>
          <cell r="I9">
            <v>109.7632800282904</v>
          </cell>
          <cell r="J9">
            <v>144.82655003732759</v>
          </cell>
          <cell r="K9">
            <v>0.25</v>
          </cell>
          <cell r="L9">
            <v>0.36</v>
          </cell>
          <cell r="M9">
            <v>0.48</v>
          </cell>
          <cell r="N9">
            <v>0.98</v>
          </cell>
          <cell r="O9">
            <v>351.54739409060784</v>
          </cell>
          <cell r="P9">
            <v>411.91719810616758</v>
          </cell>
          <cell r="Q9">
            <v>480.36679912380976</v>
          </cell>
          <cell r="R9">
            <v>149.86149146616935</v>
          </cell>
          <cell r="S9">
            <v>234.38448479773797</v>
          </cell>
          <cell r="T9">
            <v>323.35605672570495</v>
          </cell>
          <cell r="U9">
            <v>461.54002937632862</v>
          </cell>
          <cell r="V9">
            <v>721.22580494108217</v>
          </cell>
          <cell r="W9">
            <v>995.09142478185549</v>
          </cell>
          <cell r="X9">
            <v>0.78</v>
          </cell>
          <cell r="Y9">
            <v>367.67349150255183</v>
          </cell>
          <cell r="Z9">
            <v>541.76008588854438</v>
          </cell>
          <cell r="AA9">
            <v>706.9662713778506</v>
          </cell>
        </row>
        <row r="10">
          <cell r="B10" t="str">
            <v>1A</v>
          </cell>
          <cell r="C10">
            <v>3439.5</v>
          </cell>
          <cell r="D10">
            <v>0</v>
          </cell>
          <cell r="E10">
            <v>212.05655905465545</v>
          </cell>
          <cell r="F10">
            <v>264.04166806805409</v>
          </cell>
          <cell r="G10">
            <v>307.79453107933097</v>
          </cell>
          <cell r="H10">
            <v>61.132049015756174</v>
          </cell>
          <cell r="I10">
            <v>88.267971022750189</v>
          </cell>
          <cell r="J10">
            <v>114.18430102942986</v>
          </cell>
          <cell r="K10">
            <v>0.23</v>
          </cell>
          <cell r="L10">
            <v>0.33</v>
          </cell>
          <cell r="M10">
            <v>0.43</v>
          </cell>
          <cell r="N10">
            <v>0.96</v>
          </cell>
          <cell r="O10">
            <v>299.10493807709133</v>
          </cell>
          <cell r="P10">
            <v>348.65086308986128</v>
          </cell>
          <cell r="Q10">
            <v>400.02617610310278</v>
          </cell>
          <cell r="R10">
            <v>128.85541017416116</v>
          </cell>
          <cell r="S10">
            <v>201.11891723129207</v>
          </cell>
          <cell r="T10">
            <v>277.44543271733801</v>
          </cell>
          <cell r="U10">
            <v>396.14332181921168</v>
          </cell>
          <cell r="V10">
            <v>619.02835563397684</v>
          </cell>
          <cell r="W10">
            <v>854.10241473548717</v>
          </cell>
          <cell r="X10">
            <v>0.74</v>
          </cell>
          <cell r="Y10">
            <v>302.58751673044702</v>
          </cell>
          <cell r="Z10">
            <v>444.13156116936358</v>
          </cell>
          <cell r="AA10">
            <v>579.95940652648096</v>
          </cell>
        </row>
        <row r="11">
          <cell r="B11" t="str">
            <v>1B</v>
          </cell>
          <cell r="C11">
            <v>2999.5</v>
          </cell>
          <cell r="D11">
            <v>0</v>
          </cell>
          <cell r="E11">
            <v>206.26349705316235</v>
          </cell>
          <cell r="F11">
            <v>256.11432006601092</v>
          </cell>
          <cell r="G11">
            <v>314.19738908098122</v>
          </cell>
          <cell r="H11">
            <v>36.282862009351547</v>
          </cell>
          <cell r="I11">
            <v>60.369804015559716</v>
          </cell>
          <cell r="J11">
            <v>84.609195021807182</v>
          </cell>
          <cell r="K11">
            <v>0.15</v>
          </cell>
          <cell r="L11">
            <v>0.24</v>
          </cell>
          <cell r="M11">
            <v>0.31</v>
          </cell>
          <cell r="N11">
            <v>0.92</v>
          </cell>
          <cell r="O11">
            <v>267.39554606891852</v>
          </cell>
          <cell r="P11">
            <v>311.14840908019539</v>
          </cell>
          <cell r="Q11">
            <v>369.68882509528362</v>
          </cell>
          <cell r="R11">
            <v>85.218991021964342</v>
          </cell>
          <cell r="S11">
            <v>170.43798204392868</v>
          </cell>
          <cell r="T11">
            <v>253.67513606538225</v>
          </cell>
          <cell r="U11">
            <v>262.21228006758258</v>
          </cell>
          <cell r="V11">
            <v>524.42456013516517</v>
          </cell>
          <cell r="W11">
            <v>780.53888020117608</v>
          </cell>
          <cell r="X11">
            <v>0.73</v>
          </cell>
          <cell r="Y11">
            <v>292.54963107540175</v>
          </cell>
          <cell r="Z11">
            <v>386.45821509960575</v>
          </cell>
          <cell r="AA11">
            <v>528.84558113630465</v>
          </cell>
        </row>
        <row r="12">
          <cell r="B12" t="str">
            <v>1C</v>
          </cell>
          <cell r="C12">
            <v>2615.5</v>
          </cell>
          <cell r="D12">
            <v>0</v>
          </cell>
          <cell r="E12">
            <v>187.51227004832941</v>
          </cell>
          <cell r="F12">
            <v>228.67350005893832</v>
          </cell>
          <cell r="G12">
            <v>275.78024107107962</v>
          </cell>
          <cell r="H12">
            <v>30.032453007740564</v>
          </cell>
          <cell r="I12">
            <v>50.003272012887848</v>
          </cell>
          <cell r="J12">
            <v>70.126540018074422</v>
          </cell>
          <cell r="K12">
            <v>0.14000000000000001</v>
          </cell>
          <cell r="L12">
            <v>0.22</v>
          </cell>
          <cell r="M12">
            <v>0.28999999999999998</v>
          </cell>
          <cell r="N12">
            <v>0.87</v>
          </cell>
          <cell r="O12">
            <v>238.12533806137444</v>
          </cell>
          <cell r="P12">
            <v>272.42636307021519</v>
          </cell>
          <cell r="Q12">
            <v>322.27718608306373</v>
          </cell>
          <cell r="R12">
            <v>70.736336018231583</v>
          </cell>
          <cell r="S12">
            <v>141.47267203646317</v>
          </cell>
          <cell r="T12">
            <v>215.86778405563777</v>
          </cell>
          <cell r="U12">
            <v>217.69717205610928</v>
          </cell>
          <cell r="V12">
            <v>435.24189511217924</v>
          </cell>
          <cell r="W12">
            <v>664.06784417115682</v>
          </cell>
          <cell r="X12">
            <v>0.65</v>
          </cell>
          <cell r="Y12">
            <v>252.60799306510719</v>
          </cell>
          <cell r="Z12">
            <v>316.02677708145274</v>
          </cell>
          <cell r="AA12">
            <v>437.98597711288653</v>
          </cell>
        </row>
        <row r="13">
          <cell r="B13" t="str">
            <v>2A</v>
          </cell>
          <cell r="C13">
            <v>2271.5</v>
          </cell>
          <cell r="D13" t="str">
            <v>Pharma</v>
          </cell>
          <cell r="E13">
            <v>170.59043104396798</v>
          </cell>
          <cell r="F13">
            <v>204.28166005265155</v>
          </cell>
          <cell r="G13">
            <v>241.93656306235673</v>
          </cell>
          <cell r="H13">
            <v>24.544289006326046</v>
          </cell>
          <cell r="I13">
            <v>41.008781010569606</v>
          </cell>
          <cell r="J13">
            <v>57.473273014813159</v>
          </cell>
          <cell r="K13">
            <v>0.13</v>
          </cell>
          <cell r="L13">
            <v>0.2</v>
          </cell>
          <cell r="M13">
            <v>0.26</v>
          </cell>
          <cell r="N13">
            <v>0.84</v>
          </cell>
          <cell r="O13">
            <v>212.05655905465545</v>
          </cell>
          <cell r="P13">
            <v>238.5826850614923</v>
          </cell>
          <cell r="Q13">
            <v>280.50616007229769</v>
          </cell>
          <cell r="R13">
            <v>57.930620014931037</v>
          </cell>
          <cell r="S13">
            <v>115.86124002986207</v>
          </cell>
          <cell r="T13">
            <v>180.49961604652196</v>
          </cell>
          <cell r="U13">
            <v>178.36533004597189</v>
          </cell>
          <cell r="V13">
            <v>356.73066009194378</v>
          </cell>
          <cell r="W13">
            <v>555.37170714314152</v>
          </cell>
          <cell r="X13">
            <v>0.56999999999999995</v>
          </cell>
          <cell r="Y13">
            <v>220.28880505677725</v>
          </cell>
          <cell r="Z13">
            <v>263.43187206789696</v>
          </cell>
          <cell r="AA13">
            <v>358.56004809241529</v>
          </cell>
        </row>
        <row r="14">
          <cell r="B14" t="str">
            <v>2B</v>
          </cell>
          <cell r="C14">
            <v>1975.5</v>
          </cell>
          <cell r="D14">
            <v>0</v>
          </cell>
          <cell r="E14">
            <v>156.10777604023522</v>
          </cell>
          <cell r="F14">
            <v>183.24369804722923</v>
          </cell>
          <cell r="G14">
            <v>214.19084505520556</v>
          </cell>
          <cell r="H14">
            <v>20.275717005225864</v>
          </cell>
          <cell r="I14">
            <v>33.843678008722868</v>
          </cell>
          <cell r="J14">
            <v>47.259190012180582</v>
          </cell>
          <cell r="K14">
            <v>0.12</v>
          </cell>
          <cell r="L14">
            <v>0.18</v>
          </cell>
          <cell r="M14">
            <v>0.24</v>
          </cell>
          <cell r="N14">
            <v>0.83</v>
          </cell>
          <cell r="O14">
            <v>189.95145404895808</v>
          </cell>
          <cell r="P14">
            <v>211.75166105457689</v>
          </cell>
          <cell r="Q14">
            <v>246.05268606341764</v>
          </cell>
          <cell r="R14">
            <v>47.259190012180582</v>
          </cell>
          <cell r="S14">
            <v>94.518380024361164</v>
          </cell>
          <cell r="T14">
            <v>147.72308103807416</v>
          </cell>
          <cell r="U14">
            <v>145.43634603748475</v>
          </cell>
          <cell r="V14">
            <v>290.87269207496951</v>
          </cell>
          <cell r="W14">
            <v>454.60291811716939</v>
          </cell>
          <cell r="X14">
            <v>0.49</v>
          </cell>
          <cell r="Y14">
            <v>197.72635305096199</v>
          </cell>
          <cell r="Z14">
            <v>235.22880706062787</v>
          </cell>
          <cell r="AA14">
            <v>294.07412107579466</v>
          </cell>
        </row>
        <row r="15">
          <cell r="B15" t="str">
            <v>3A</v>
          </cell>
          <cell r="C15">
            <v>1719.5</v>
          </cell>
          <cell r="D15">
            <v>0</v>
          </cell>
          <cell r="E15">
            <v>144.97899903736689</v>
          </cell>
          <cell r="F15">
            <v>166.62675704294639</v>
          </cell>
          <cell r="G15">
            <v>191.47594404935103</v>
          </cell>
          <cell r="H15">
            <v>17.684084004557896</v>
          </cell>
          <cell r="I15">
            <v>29.422657007583396</v>
          </cell>
          <cell r="J15">
            <v>41.161230010608897</v>
          </cell>
          <cell r="K15">
            <v>0.11</v>
          </cell>
          <cell r="L15">
            <v>0.18</v>
          </cell>
          <cell r="M15">
            <v>0.24</v>
          </cell>
          <cell r="N15">
            <v>0.81</v>
          </cell>
          <cell r="O15">
            <v>173.33451304467525</v>
          </cell>
          <cell r="P15">
            <v>195.89696505049048</v>
          </cell>
          <cell r="Q15">
            <v>220.13635605673795</v>
          </cell>
          <cell r="R15">
            <v>37.80735200974447</v>
          </cell>
          <cell r="S15">
            <v>75.767153019528223</v>
          </cell>
          <cell r="T15">
            <v>119.06266903068722</v>
          </cell>
          <cell r="U15">
            <v>116.47103603001925</v>
          </cell>
          <cell r="V15">
            <v>233.0945210600778</v>
          </cell>
          <cell r="W15">
            <v>366.33494709441919</v>
          </cell>
          <cell r="X15">
            <v>0.4</v>
          </cell>
          <cell r="Y15">
            <v>174.85900304506816</v>
          </cell>
          <cell r="Z15">
            <v>200.16553705159066</v>
          </cell>
          <cell r="AA15">
            <v>243.91840006286753</v>
          </cell>
        </row>
        <row r="18">
          <cell r="B18" t="str">
            <v>Work</v>
          </cell>
          <cell r="C18" t="str">
            <v>Hay
Mid-</v>
          </cell>
          <cell r="D18" t="str">
            <v>Market
data</v>
          </cell>
          <cell r="E18" t="str">
            <v>Salaire de base</v>
          </cell>
          <cell r="F18">
            <v>0</v>
          </cell>
          <cell r="G18">
            <v>0</v>
          </cell>
          <cell r="H18" t="str">
            <v>Bonus (kF)</v>
          </cell>
          <cell r="I18">
            <v>0</v>
          </cell>
          <cell r="J18">
            <v>0</v>
          </cell>
          <cell r="K18" t="str">
            <v>Bonus (%)</v>
          </cell>
          <cell r="L18">
            <v>0</v>
          </cell>
          <cell r="M18">
            <v>0</v>
          </cell>
          <cell r="N18">
            <v>0</v>
          </cell>
          <cell r="O18" t="str">
            <v>Rém. Espèces</v>
          </cell>
          <cell r="P18">
            <v>0</v>
          </cell>
          <cell r="Q18">
            <v>0</v>
          </cell>
          <cell r="R18" t="str">
            <v>LTI Values</v>
          </cell>
          <cell r="S18">
            <v>0</v>
          </cell>
          <cell r="T18">
            <v>0</v>
          </cell>
          <cell r="U18" t="str">
            <v>Stock-option
grant equivalent</v>
          </cell>
          <cell r="V18">
            <v>0</v>
          </cell>
          <cell r="W18">
            <v>0</v>
          </cell>
          <cell r="X18">
            <v>0</v>
          </cell>
          <cell r="Y18" t="str">
            <v>Rém. Totale Directe</v>
          </cell>
        </row>
        <row r="19">
          <cell r="B19" t="str">
            <v>level</v>
          </cell>
          <cell r="C19" t="str">
            <v>point</v>
          </cell>
          <cell r="D19" t="str">
            <v>used</v>
          </cell>
          <cell r="E19">
            <v>25</v>
          </cell>
          <cell r="F19">
            <v>50</v>
          </cell>
          <cell r="G19">
            <v>75</v>
          </cell>
          <cell r="H19">
            <v>25</v>
          </cell>
          <cell r="I19">
            <v>50</v>
          </cell>
          <cell r="J19">
            <v>75</v>
          </cell>
          <cell r="K19">
            <v>25</v>
          </cell>
          <cell r="L19">
            <v>50</v>
          </cell>
          <cell r="M19">
            <v>75</v>
          </cell>
          <cell r="N19" t="str">
            <v>%</v>
          </cell>
          <cell r="O19">
            <v>25</v>
          </cell>
          <cell r="P19">
            <v>50</v>
          </cell>
          <cell r="Q19">
            <v>75</v>
          </cell>
          <cell r="R19">
            <v>25</v>
          </cell>
          <cell r="S19">
            <v>50</v>
          </cell>
          <cell r="T19">
            <v>75</v>
          </cell>
          <cell r="U19">
            <v>25</v>
          </cell>
          <cell r="V19">
            <v>50</v>
          </cell>
          <cell r="W19">
            <v>75</v>
          </cell>
          <cell r="X19" t="str">
            <v>%</v>
          </cell>
          <cell r="Y19">
            <v>25</v>
          </cell>
          <cell r="Z19">
            <v>50</v>
          </cell>
          <cell r="AA19">
            <v>75</v>
          </cell>
        </row>
        <row r="20">
          <cell r="B20" t="str">
            <v>0A</v>
          </cell>
          <cell r="C20">
            <v>8200</v>
          </cell>
          <cell r="D20">
            <v>0</v>
          </cell>
          <cell r="E20">
            <v>545.46252214058757</v>
          </cell>
          <cell r="F20">
            <v>676.72111117441807</v>
          </cell>
          <cell r="G20">
            <v>816.66929321048838</v>
          </cell>
          <cell r="H20">
            <v>263.58432106793623</v>
          </cell>
          <cell r="I20">
            <v>449.41965211583346</v>
          </cell>
          <cell r="J20">
            <v>950.36706624494764</v>
          </cell>
          <cell r="K20">
            <v>0.38</v>
          </cell>
          <cell r="L20">
            <v>0.65</v>
          </cell>
          <cell r="M20">
            <v>1.35</v>
          </cell>
          <cell r="N20">
            <v>1</v>
          </cell>
          <cell r="O20">
            <v>874.59991322541941</v>
          </cell>
          <cell r="P20">
            <v>1126.1407632902515</v>
          </cell>
          <cell r="Q20">
            <v>1697.0622684374009</v>
          </cell>
          <cell r="R20">
            <v>188.27451504852587</v>
          </cell>
          <cell r="S20">
            <v>294.22657007583399</v>
          </cell>
          <cell r="T20">
            <v>405.97168710463518</v>
          </cell>
          <cell r="U20">
            <v>579.30620014931037</v>
          </cell>
          <cell r="V20">
            <v>905.08971323327785</v>
          </cell>
          <cell r="W20">
            <v>1249.014657321921</v>
          </cell>
          <cell r="X20">
            <v>1</v>
          </cell>
          <cell r="Y20">
            <v>1063.789122274181</v>
          </cell>
          <cell r="Z20">
            <v>1420.9771293662427</v>
          </cell>
          <cell r="AA20">
            <v>2102.5766085419182</v>
          </cell>
        </row>
        <row r="21">
          <cell r="B21" t="str">
            <v>0B</v>
          </cell>
          <cell r="C21">
            <v>5999.5</v>
          </cell>
          <cell r="D21">
            <v>0</v>
          </cell>
          <cell r="E21">
            <v>390.87923610074523</v>
          </cell>
          <cell r="F21">
            <v>462.68271511925184</v>
          </cell>
          <cell r="G21">
            <v>532.80925513732632</v>
          </cell>
          <cell r="H21">
            <v>147.57063203803486</v>
          </cell>
          <cell r="I21">
            <v>216.47758005579493</v>
          </cell>
          <cell r="J21">
            <v>353.68168009115794</v>
          </cell>
          <cell r="K21">
            <v>0.32</v>
          </cell>
          <cell r="L21">
            <v>0.46</v>
          </cell>
          <cell r="M21">
            <v>0.76</v>
          </cell>
          <cell r="N21">
            <v>1</v>
          </cell>
          <cell r="O21">
            <v>574.2753831480137</v>
          </cell>
          <cell r="P21">
            <v>679.16029517504683</v>
          </cell>
          <cell r="Q21">
            <v>851.42766521944702</v>
          </cell>
          <cell r="R21">
            <v>162.66308304192478</v>
          </cell>
          <cell r="S21">
            <v>254.13248306550011</v>
          </cell>
          <cell r="T21">
            <v>350.63270009037205</v>
          </cell>
          <cell r="U21">
            <v>500.49006712899632</v>
          </cell>
          <cell r="V21">
            <v>781.91092120152973</v>
          </cell>
          <cell r="W21">
            <v>1079.0340222781103</v>
          </cell>
          <cell r="X21">
            <v>0.95</v>
          </cell>
          <cell r="Y21">
            <v>708.43050318259088</v>
          </cell>
          <cell r="Z21">
            <v>911.03522423481024</v>
          </cell>
          <cell r="AA21">
            <v>1180.8699543043574</v>
          </cell>
        </row>
        <row r="22">
          <cell r="B22" t="str">
            <v>0C</v>
          </cell>
          <cell r="C22">
            <v>4911.5</v>
          </cell>
          <cell r="D22" t="str">
            <v>Industrial</v>
          </cell>
          <cell r="E22">
            <v>322.73453308318159</v>
          </cell>
          <cell r="F22">
            <v>383.40923509881992</v>
          </cell>
          <cell r="G22">
            <v>447.89516211544048</v>
          </cell>
          <cell r="H22">
            <v>109.00103502809392</v>
          </cell>
          <cell r="I22">
            <v>157.78471504066744</v>
          </cell>
          <cell r="J22">
            <v>230.80778605948839</v>
          </cell>
          <cell r="K22">
            <v>0.28000000000000003</v>
          </cell>
          <cell r="L22">
            <v>0.41</v>
          </cell>
          <cell r="M22">
            <v>0.6</v>
          </cell>
          <cell r="N22">
            <v>1</v>
          </cell>
          <cell r="O22">
            <v>462.07291911909471</v>
          </cell>
          <cell r="P22">
            <v>541.19395013948736</v>
          </cell>
          <cell r="Q22">
            <v>646.53620916663829</v>
          </cell>
          <cell r="R22">
            <v>115.55634202978349</v>
          </cell>
          <cell r="S22">
            <v>180.49961604652196</v>
          </cell>
          <cell r="T22">
            <v>249.10166606420347</v>
          </cell>
          <cell r="U22">
            <v>355.35861909159013</v>
          </cell>
          <cell r="V22">
            <v>555.21925814310225</v>
          </cell>
          <cell r="W22">
            <v>766.20867419748265</v>
          </cell>
          <cell r="X22">
            <v>0.86</v>
          </cell>
          <cell r="Y22">
            <v>513.29578313229683</v>
          </cell>
          <cell r="Z22">
            <v>671.53784517308213</v>
          </cell>
          <cell r="AA22">
            <v>848.836032218779</v>
          </cell>
        </row>
        <row r="23">
          <cell r="B23" t="str">
            <v>0D</v>
          </cell>
          <cell r="C23">
            <v>3951.5</v>
          </cell>
          <cell r="D23" t="str">
            <v>&amp;</v>
          </cell>
          <cell r="E23">
            <v>246.3575840634962</v>
          </cell>
          <cell r="F23">
            <v>304.28820407842727</v>
          </cell>
          <cell r="G23">
            <v>366.79229409453706</v>
          </cell>
          <cell r="H23">
            <v>76.376949019685398</v>
          </cell>
          <cell r="I23">
            <v>109.7632800282904</v>
          </cell>
          <cell r="J23">
            <v>144.82655003732759</v>
          </cell>
          <cell r="K23">
            <v>0.25</v>
          </cell>
          <cell r="L23">
            <v>0.36</v>
          </cell>
          <cell r="M23">
            <v>0.48</v>
          </cell>
          <cell r="N23">
            <v>0.98</v>
          </cell>
          <cell r="O23">
            <v>351.54739409060784</v>
          </cell>
          <cell r="P23">
            <v>411.91719810616758</v>
          </cell>
          <cell r="Q23">
            <v>480.36679912380976</v>
          </cell>
          <cell r="R23">
            <v>82.170011021178496</v>
          </cell>
          <cell r="S23">
            <v>128.51450703312332</v>
          </cell>
          <cell r="T23">
            <v>177.29818704569684</v>
          </cell>
          <cell r="U23">
            <v>253.06534006522506</v>
          </cell>
          <cell r="V23">
            <v>395.45270610192398</v>
          </cell>
          <cell r="W23">
            <v>545.61497114062684</v>
          </cell>
          <cell r="X23">
            <v>0.78</v>
          </cell>
          <cell r="Y23">
            <v>360.3894360928868</v>
          </cell>
          <cell r="Z23">
            <v>483.11088112451699</v>
          </cell>
          <cell r="AA23">
            <v>604.61273415583287</v>
          </cell>
        </row>
        <row r="24">
          <cell r="B24" t="str">
            <v>1A</v>
          </cell>
          <cell r="C24">
            <v>3439.5</v>
          </cell>
          <cell r="D24" t="str">
            <v>Service</v>
          </cell>
          <cell r="E24">
            <v>212.05655905465545</v>
          </cell>
          <cell r="F24">
            <v>264.04166806805409</v>
          </cell>
          <cell r="G24">
            <v>307.79453107933097</v>
          </cell>
          <cell r="H24">
            <v>61.132049015756174</v>
          </cell>
          <cell r="I24">
            <v>88.267971022750189</v>
          </cell>
          <cell r="J24">
            <v>114.18430102942986</v>
          </cell>
          <cell r="K24">
            <v>0.23</v>
          </cell>
          <cell r="L24">
            <v>0.33</v>
          </cell>
          <cell r="M24">
            <v>0.43</v>
          </cell>
          <cell r="N24">
            <v>0.96</v>
          </cell>
          <cell r="O24">
            <v>299.10493807709133</v>
          </cell>
          <cell r="P24">
            <v>348.65086308986128</v>
          </cell>
          <cell r="Q24">
            <v>400.02617610310278</v>
          </cell>
          <cell r="R24">
            <v>67.687356017445737</v>
          </cell>
          <cell r="S24">
            <v>105.6471570272295</v>
          </cell>
          <cell r="T24">
            <v>145.74124403756335</v>
          </cell>
          <cell r="U24">
            <v>208.09288505363386</v>
          </cell>
          <cell r="V24">
            <v>325.17371708381029</v>
          </cell>
          <cell r="W24">
            <v>448.65740711563694</v>
          </cell>
          <cell r="X24">
            <v>0.74</v>
          </cell>
          <cell r="Y24">
            <v>300.93432607756284</v>
          </cell>
          <cell r="Z24">
            <v>398.80658410278841</v>
          </cell>
          <cell r="AA24">
            <v>494.54455612746392</v>
          </cell>
        </row>
        <row r="25">
          <cell r="B25" t="str">
            <v>1B</v>
          </cell>
          <cell r="C25">
            <v>2999.5</v>
          </cell>
          <cell r="D25">
            <v>0</v>
          </cell>
          <cell r="E25">
            <v>180.65206504656126</v>
          </cell>
          <cell r="F25">
            <v>228.36860205885972</v>
          </cell>
          <cell r="G25">
            <v>262.36472906762191</v>
          </cell>
          <cell r="H25">
            <v>47.868986012337757</v>
          </cell>
          <cell r="I25">
            <v>68.906948017760072</v>
          </cell>
          <cell r="J25">
            <v>88.267971022750189</v>
          </cell>
          <cell r="K25">
            <v>0.22</v>
          </cell>
          <cell r="L25">
            <v>0.3</v>
          </cell>
          <cell r="M25">
            <v>0.37</v>
          </cell>
          <cell r="N25">
            <v>0.94</v>
          </cell>
          <cell r="O25">
            <v>252.4555440650679</v>
          </cell>
          <cell r="P25">
            <v>293.15942707555894</v>
          </cell>
          <cell r="Q25">
            <v>333.71086108601065</v>
          </cell>
          <cell r="R25">
            <v>55.186538014223778</v>
          </cell>
          <cell r="S25">
            <v>86.133685022200098</v>
          </cell>
          <cell r="T25">
            <v>118.91022003064792</v>
          </cell>
          <cell r="U25">
            <v>169.67573704373223</v>
          </cell>
          <cell r="V25">
            <v>265.10881106832915</v>
          </cell>
          <cell r="W25">
            <v>365.725151094262</v>
          </cell>
          <cell r="X25">
            <v>0.7</v>
          </cell>
          <cell r="Y25">
            <v>252.4555440650679</v>
          </cell>
          <cell r="Z25">
            <v>327.76535008447826</v>
          </cell>
          <cell r="AA25">
            <v>404.90454410436013</v>
          </cell>
        </row>
        <row r="26">
          <cell r="B26" t="str">
            <v>1C</v>
          </cell>
          <cell r="C26">
            <v>2615.5</v>
          </cell>
          <cell r="D26">
            <v>0</v>
          </cell>
          <cell r="E26">
            <v>159.15675604102105</v>
          </cell>
          <cell r="F26">
            <v>198.03125105104058</v>
          </cell>
          <cell r="G26">
            <v>228.67350005893832</v>
          </cell>
          <cell r="H26">
            <v>38.11225000982305</v>
          </cell>
          <cell r="I26">
            <v>54.729191014105901</v>
          </cell>
          <cell r="J26">
            <v>69.974091018035125</v>
          </cell>
          <cell r="K26">
            <v>0.21</v>
          </cell>
          <cell r="L26">
            <v>0.28000000000000003</v>
          </cell>
          <cell r="M26">
            <v>0.34</v>
          </cell>
          <cell r="N26">
            <v>0.92</v>
          </cell>
          <cell r="O26">
            <v>216.78247805587353</v>
          </cell>
          <cell r="P26">
            <v>248.33942106400701</v>
          </cell>
          <cell r="Q26">
            <v>283.25024207300493</v>
          </cell>
          <cell r="R26">
            <v>44.210210011394743</v>
          </cell>
          <cell r="S26">
            <v>69.05939701779937</v>
          </cell>
          <cell r="T26">
            <v>95.280625024557636</v>
          </cell>
          <cell r="U26">
            <v>135.98450803504866</v>
          </cell>
          <cell r="V26">
            <v>212.51390605477334</v>
          </cell>
          <cell r="W26">
            <v>293.31187607559821</v>
          </cell>
          <cell r="X26">
            <v>0.66</v>
          </cell>
          <cell r="Y26">
            <v>216.78247805587353</v>
          </cell>
          <cell r="Z26">
            <v>271.05432206986154</v>
          </cell>
          <cell r="AA26">
            <v>335.84514708656076</v>
          </cell>
        </row>
        <row r="27">
          <cell r="B27" t="str">
            <v>2A</v>
          </cell>
          <cell r="C27">
            <v>2271.5</v>
          </cell>
          <cell r="D27">
            <v>0</v>
          </cell>
          <cell r="E27">
            <v>146.8083870378384</v>
          </cell>
          <cell r="F27">
            <v>173.18206404463595</v>
          </cell>
          <cell r="G27">
            <v>201.99492505206217</v>
          </cell>
          <cell r="H27">
            <v>31.404494008094193</v>
          </cell>
          <cell r="I27">
            <v>46.039598011866246</v>
          </cell>
          <cell r="J27">
            <v>58.845314015166792</v>
          </cell>
          <cell r="K27">
            <v>0.19</v>
          </cell>
          <cell r="L27">
            <v>0.27</v>
          </cell>
          <cell r="M27">
            <v>0.32</v>
          </cell>
          <cell r="N27">
            <v>0.89</v>
          </cell>
          <cell r="O27">
            <v>191.47594404935103</v>
          </cell>
          <cell r="P27">
            <v>214.34329405524485</v>
          </cell>
          <cell r="Q27">
            <v>246.3575840634962</v>
          </cell>
          <cell r="R27">
            <v>34.453474008880036</v>
          </cell>
          <cell r="S27">
            <v>53.814497013870152</v>
          </cell>
          <cell r="T27">
            <v>74.242663019135307</v>
          </cell>
          <cell r="U27">
            <v>106.10450402734737</v>
          </cell>
          <cell r="V27">
            <v>165.71206304271064</v>
          </cell>
          <cell r="W27">
            <v>228.67350005893832</v>
          </cell>
          <cell r="X27">
            <v>0.63</v>
          </cell>
          <cell r="Y27">
            <v>191.47594404935103</v>
          </cell>
          <cell r="Z27">
            <v>228.21615305882042</v>
          </cell>
          <cell r="AA27">
            <v>283.70758907312279</v>
          </cell>
        </row>
        <row r="28">
          <cell r="B28" t="str">
            <v>2B</v>
          </cell>
          <cell r="C28">
            <v>1975.5</v>
          </cell>
          <cell r="D28" t="str">
            <v>Crop Science</v>
          </cell>
          <cell r="E28">
            <v>128.05716003300546</v>
          </cell>
          <cell r="F28">
            <v>150.61961203882069</v>
          </cell>
          <cell r="G28">
            <v>177.75553404581473</v>
          </cell>
          <cell r="H28">
            <v>30.489800007858442</v>
          </cell>
          <cell r="I28">
            <v>60.827151015677593</v>
          </cell>
          <cell r="J28">
            <v>91.316951023536035</v>
          </cell>
          <cell r="K28">
            <v>0.22</v>
          </cell>
          <cell r="L28">
            <v>0.4</v>
          </cell>
          <cell r="M28">
            <v>0.56999999999999995</v>
          </cell>
          <cell r="N28">
            <v>1</v>
          </cell>
          <cell r="O28">
            <v>169.67573704373223</v>
          </cell>
          <cell r="P28">
            <v>213.1237020549305</v>
          </cell>
          <cell r="Q28">
            <v>255.50452406585373</v>
          </cell>
          <cell r="R28">
            <v>16.769390004322144</v>
          </cell>
          <cell r="S28">
            <v>41.771026010766064</v>
          </cell>
          <cell r="T28">
            <v>59.45511001532396</v>
          </cell>
          <cell r="U28">
            <v>51.527762013280764</v>
          </cell>
          <cell r="V28">
            <v>128.66695603316262</v>
          </cell>
          <cell r="W28">
            <v>182.93880004715066</v>
          </cell>
          <cell r="X28">
            <v>0.62</v>
          </cell>
          <cell r="Y28">
            <v>169.67573704373223</v>
          </cell>
          <cell r="Z28">
            <v>223.49023405760238</v>
          </cell>
          <cell r="AA28">
            <v>284.92718107343711</v>
          </cell>
        </row>
        <row r="29">
          <cell r="B29" t="str">
            <v>3A</v>
          </cell>
          <cell r="C29">
            <v>1719.5</v>
          </cell>
          <cell r="D29">
            <v>0</v>
          </cell>
          <cell r="E29">
            <v>114.33675002946916</v>
          </cell>
          <cell r="F29">
            <v>134.15512003457715</v>
          </cell>
          <cell r="G29">
            <v>158.08961304074603</v>
          </cell>
          <cell r="H29">
            <v>25.458983006561798</v>
          </cell>
          <cell r="I29">
            <v>51.070415013162886</v>
          </cell>
          <cell r="J29">
            <v>76.529398019724695</v>
          </cell>
          <cell r="K29">
            <v>0.21</v>
          </cell>
          <cell r="L29">
            <v>0.38</v>
          </cell>
          <cell r="M29">
            <v>0.54</v>
          </cell>
          <cell r="N29">
            <v>0.99</v>
          </cell>
          <cell r="O29">
            <v>149.70491803858494</v>
          </cell>
          <cell r="P29">
            <v>185.22553504774004</v>
          </cell>
          <cell r="Q29">
            <v>222.72798905740592</v>
          </cell>
          <cell r="R29">
            <v>15.549798004007805</v>
          </cell>
          <cell r="S29">
            <v>37.654903009705173</v>
          </cell>
          <cell r="T29">
            <v>56.406130014538114</v>
          </cell>
          <cell r="U29">
            <v>47.868986012337757</v>
          </cell>
          <cell r="V29">
            <v>115.86124002986207</v>
          </cell>
          <cell r="W29">
            <v>173.79186004479311</v>
          </cell>
          <cell r="X29">
            <v>0.59</v>
          </cell>
          <cell r="Y29">
            <v>149.70491803858494</v>
          </cell>
          <cell r="Z29">
            <v>192.08574004950819</v>
          </cell>
          <cell r="AA29">
            <v>248.33942106400701</v>
          </cell>
        </row>
        <row r="32">
          <cell r="B32" t="str">
            <v>Work</v>
          </cell>
          <cell r="C32" t="str">
            <v>Hay
Mid-</v>
          </cell>
          <cell r="D32" t="str">
            <v>Market
data</v>
          </cell>
          <cell r="E32" t="str">
            <v>Salaire de base</v>
          </cell>
          <cell r="F32">
            <v>0</v>
          </cell>
          <cell r="G32">
            <v>0</v>
          </cell>
          <cell r="H32" t="str">
            <v>Bonus (kF)</v>
          </cell>
          <cell r="I32">
            <v>0</v>
          </cell>
          <cell r="J32">
            <v>0</v>
          </cell>
          <cell r="K32" t="str">
            <v>Bonus (%)</v>
          </cell>
          <cell r="L32">
            <v>0</v>
          </cell>
          <cell r="M32">
            <v>0</v>
          </cell>
          <cell r="N32">
            <v>0</v>
          </cell>
          <cell r="O32" t="str">
            <v>Rém. Espèces</v>
          </cell>
          <cell r="P32">
            <v>0</v>
          </cell>
          <cell r="Q32">
            <v>0</v>
          </cell>
          <cell r="R32" t="str">
            <v>LTI Values</v>
          </cell>
          <cell r="S32">
            <v>0</v>
          </cell>
          <cell r="T32">
            <v>0</v>
          </cell>
          <cell r="U32" t="str">
            <v>Stock-option
grant equivalent</v>
          </cell>
          <cell r="V32">
            <v>0</v>
          </cell>
          <cell r="W32">
            <v>0</v>
          </cell>
          <cell r="X32">
            <v>0</v>
          </cell>
          <cell r="Y32" t="str">
            <v>Rém. Totale Directe</v>
          </cell>
        </row>
        <row r="33">
          <cell r="B33" t="str">
            <v>level</v>
          </cell>
          <cell r="C33" t="str">
            <v>point</v>
          </cell>
          <cell r="D33" t="str">
            <v>used</v>
          </cell>
          <cell r="E33">
            <v>25</v>
          </cell>
          <cell r="F33">
            <v>50</v>
          </cell>
          <cell r="G33">
            <v>75</v>
          </cell>
          <cell r="H33">
            <v>25</v>
          </cell>
          <cell r="I33">
            <v>50</v>
          </cell>
          <cell r="J33">
            <v>75</v>
          </cell>
          <cell r="K33">
            <v>25</v>
          </cell>
          <cell r="L33">
            <v>50</v>
          </cell>
          <cell r="M33">
            <v>75</v>
          </cell>
          <cell r="N33" t="str">
            <v>%</v>
          </cell>
          <cell r="O33">
            <v>25</v>
          </cell>
          <cell r="P33">
            <v>50</v>
          </cell>
          <cell r="Q33">
            <v>75</v>
          </cell>
          <cell r="R33">
            <v>25</v>
          </cell>
          <cell r="S33">
            <v>50</v>
          </cell>
          <cell r="T33">
            <v>75</v>
          </cell>
          <cell r="U33">
            <v>25</v>
          </cell>
          <cell r="V33">
            <v>50</v>
          </cell>
          <cell r="W33">
            <v>75</v>
          </cell>
          <cell r="X33" t="str">
            <v>%</v>
          </cell>
          <cell r="Y33">
            <v>25</v>
          </cell>
          <cell r="Z33">
            <v>50</v>
          </cell>
          <cell r="AA33">
            <v>75</v>
          </cell>
        </row>
        <row r="34">
          <cell r="B34" t="str">
            <v>0A</v>
          </cell>
          <cell r="C34">
            <v>8200</v>
          </cell>
          <cell r="D34">
            <v>0</v>
          </cell>
          <cell r="E34">
            <v>545.46252214058757</v>
          </cell>
          <cell r="F34">
            <v>676.72111117441807</v>
          </cell>
          <cell r="G34">
            <v>816.66929321048838</v>
          </cell>
          <cell r="H34">
            <v>263.58432106793623</v>
          </cell>
          <cell r="I34">
            <v>449.41965211583346</v>
          </cell>
          <cell r="J34">
            <v>950.36706624494764</v>
          </cell>
          <cell r="K34">
            <v>0.38</v>
          </cell>
          <cell r="L34">
            <v>0.65</v>
          </cell>
          <cell r="M34">
            <v>1.35</v>
          </cell>
          <cell r="N34">
            <v>1</v>
          </cell>
          <cell r="O34">
            <v>874.59991322541941</v>
          </cell>
          <cell r="P34">
            <v>1126.1407632902515</v>
          </cell>
          <cell r="Q34">
            <v>1697.0622684374009</v>
          </cell>
          <cell r="R34">
            <v>188.27451504852587</v>
          </cell>
          <cell r="S34">
            <v>294.22657007583399</v>
          </cell>
          <cell r="T34">
            <v>405.97168710463518</v>
          </cell>
          <cell r="U34">
            <v>579.30620014931037</v>
          </cell>
          <cell r="V34">
            <v>905.08971323327785</v>
          </cell>
          <cell r="W34">
            <v>1249.014657321921</v>
          </cell>
          <cell r="X34">
            <v>1</v>
          </cell>
          <cell r="Y34">
            <v>1063.789122274181</v>
          </cell>
          <cell r="Z34">
            <v>1420.9771293662427</v>
          </cell>
          <cell r="AA34">
            <v>2102.5766085419182</v>
          </cell>
        </row>
        <row r="35">
          <cell r="B35" t="str">
            <v>0B</v>
          </cell>
          <cell r="C35">
            <v>5999.5</v>
          </cell>
          <cell r="D35">
            <v>0</v>
          </cell>
          <cell r="E35">
            <v>390.87923610074523</v>
          </cell>
          <cell r="F35">
            <v>462.68271511925184</v>
          </cell>
          <cell r="G35">
            <v>532.80925513732632</v>
          </cell>
          <cell r="H35">
            <v>147.57063203803486</v>
          </cell>
          <cell r="I35">
            <v>216.47758005579493</v>
          </cell>
          <cell r="J35">
            <v>353.68168009115794</v>
          </cell>
          <cell r="K35">
            <v>0.32</v>
          </cell>
          <cell r="L35">
            <v>0.46</v>
          </cell>
          <cell r="M35">
            <v>0.76</v>
          </cell>
          <cell r="N35">
            <v>1</v>
          </cell>
          <cell r="O35">
            <v>574.2753831480137</v>
          </cell>
          <cell r="P35">
            <v>679.16029517504683</v>
          </cell>
          <cell r="Q35">
            <v>851.42766521944702</v>
          </cell>
          <cell r="R35">
            <v>162.66308304192478</v>
          </cell>
          <cell r="S35">
            <v>254.13248306550011</v>
          </cell>
          <cell r="T35">
            <v>350.63270009037205</v>
          </cell>
          <cell r="U35">
            <v>500.49006712899632</v>
          </cell>
          <cell r="V35">
            <v>781.91092120152973</v>
          </cell>
          <cell r="W35">
            <v>1079.0340222781103</v>
          </cell>
          <cell r="X35">
            <v>0.95</v>
          </cell>
          <cell r="Y35">
            <v>708.43050318259088</v>
          </cell>
          <cell r="Z35">
            <v>911.03522423481024</v>
          </cell>
          <cell r="AA35">
            <v>1180.8699543043574</v>
          </cell>
        </row>
        <row r="36">
          <cell r="B36" t="str">
            <v>0C</v>
          </cell>
          <cell r="C36">
            <v>4911.5</v>
          </cell>
          <cell r="D36">
            <v>0</v>
          </cell>
          <cell r="E36">
            <v>322.73453308318159</v>
          </cell>
          <cell r="F36">
            <v>383.40923509881992</v>
          </cell>
          <cell r="G36">
            <v>447.89516211544048</v>
          </cell>
          <cell r="H36">
            <v>109.00103502809392</v>
          </cell>
          <cell r="I36">
            <v>157.78471504066744</v>
          </cell>
          <cell r="J36">
            <v>230.80778605948839</v>
          </cell>
          <cell r="K36">
            <v>0.28000000000000003</v>
          </cell>
          <cell r="L36">
            <v>0.41</v>
          </cell>
          <cell r="M36">
            <v>0.6</v>
          </cell>
          <cell r="N36">
            <v>1</v>
          </cell>
          <cell r="O36">
            <v>462.07291911909471</v>
          </cell>
          <cell r="P36">
            <v>541.19395013948736</v>
          </cell>
          <cell r="Q36">
            <v>646.53620916663829</v>
          </cell>
          <cell r="R36">
            <v>115.55634202978349</v>
          </cell>
          <cell r="S36">
            <v>180.49961604652196</v>
          </cell>
          <cell r="T36">
            <v>249.10166606420347</v>
          </cell>
          <cell r="U36">
            <v>355.35861909159013</v>
          </cell>
          <cell r="V36">
            <v>555.21925814310225</v>
          </cell>
          <cell r="W36">
            <v>766.20867419748265</v>
          </cell>
          <cell r="X36">
            <v>0.86</v>
          </cell>
          <cell r="Y36">
            <v>513.29578313229683</v>
          </cell>
          <cell r="Z36">
            <v>671.53784517308213</v>
          </cell>
          <cell r="AA36">
            <v>848.836032218779</v>
          </cell>
        </row>
        <row r="37">
          <cell r="B37" t="str">
            <v>0D</v>
          </cell>
          <cell r="C37">
            <v>3951.5</v>
          </cell>
          <cell r="D37" t="str">
            <v>Industrial</v>
          </cell>
          <cell r="E37">
            <v>246.3575840634962</v>
          </cell>
          <cell r="F37">
            <v>304.28820407842727</v>
          </cell>
          <cell r="G37">
            <v>366.79229409453706</v>
          </cell>
          <cell r="H37">
            <v>76.376949019685398</v>
          </cell>
          <cell r="I37">
            <v>109.7632800282904</v>
          </cell>
          <cell r="J37">
            <v>144.82655003732759</v>
          </cell>
          <cell r="K37">
            <v>0.25</v>
          </cell>
          <cell r="L37">
            <v>0.36</v>
          </cell>
          <cell r="M37">
            <v>0.48</v>
          </cell>
          <cell r="N37">
            <v>0.98</v>
          </cell>
          <cell r="O37">
            <v>351.54739409060784</v>
          </cell>
          <cell r="P37">
            <v>411.91719810616758</v>
          </cell>
          <cell r="Q37">
            <v>480.36679912380976</v>
          </cell>
          <cell r="R37">
            <v>82.170011021178496</v>
          </cell>
          <cell r="S37">
            <v>128.51450703312332</v>
          </cell>
          <cell r="T37">
            <v>177.29818704569684</v>
          </cell>
          <cell r="U37">
            <v>253.06534006522506</v>
          </cell>
          <cell r="V37">
            <v>395.45270610192398</v>
          </cell>
          <cell r="W37">
            <v>545.61497114062684</v>
          </cell>
          <cell r="X37">
            <v>0.78</v>
          </cell>
          <cell r="Y37">
            <v>360.3894360928868</v>
          </cell>
          <cell r="Z37">
            <v>483.11088112451699</v>
          </cell>
          <cell r="AA37">
            <v>604.61273415583287</v>
          </cell>
        </row>
        <row r="38">
          <cell r="B38" t="str">
            <v>1A</v>
          </cell>
          <cell r="C38">
            <v>3439.5</v>
          </cell>
          <cell r="D38" t="str">
            <v>&amp;</v>
          </cell>
          <cell r="E38">
            <v>212.05655905465545</v>
          </cell>
          <cell r="F38">
            <v>264.04166806805409</v>
          </cell>
          <cell r="G38">
            <v>307.79453107933097</v>
          </cell>
          <cell r="H38">
            <v>61.132049015756174</v>
          </cell>
          <cell r="I38">
            <v>88.267971022750189</v>
          </cell>
          <cell r="J38">
            <v>114.18430102942986</v>
          </cell>
          <cell r="K38">
            <v>0.23</v>
          </cell>
          <cell r="L38">
            <v>0.33</v>
          </cell>
          <cell r="M38">
            <v>0.43</v>
          </cell>
          <cell r="N38">
            <v>0.96</v>
          </cell>
          <cell r="O38">
            <v>299.10493807709133</v>
          </cell>
          <cell r="P38">
            <v>348.65086308986128</v>
          </cell>
          <cell r="Q38">
            <v>400.02617610310278</v>
          </cell>
          <cell r="R38">
            <v>67.687356017445737</v>
          </cell>
          <cell r="S38">
            <v>105.6471570272295</v>
          </cell>
          <cell r="T38">
            <v>145.74124403756335</v>
          </cell>
          <cell r="U38">
            <v>208.09288505363386</v>
          </cell>
          <cell r="V38">
            <v>325.17371708381029</v>
          </cell>
          <cell r="W38">
            <v>448.65740711563694</v>
          </cell>
          <cell r="X38">
            <v>0.74</v>
          </cell>
          <cell r="Y38">
            <v>300.93432607756284</v>
          </cell>
          <cell r="Z38">
            <v>398.80658410278841</v>
          </cell>
          <cell r="AA38">
            <v>494.54455612746392</v>
          </cell>
        </row>
        <row r="39">
          <cell r="B39" t="str">
            <v>1B</v>
          </cell>
          <cell r="C39">
            <v>2999.5</v>
          </cell>
          <cell r="D39" t="str">
            <v>Service</v>
          </cell>
          <cell r="E39">
            <v>180.65206504656126</v>
          </cell>
          <cell r="F39">
            <v>228.36860205885972</v>
          </cell>
          <cell r="G39">
            <v>262.36472906762191</v>
          </cell>
          <cell r="H39">
            <v>47.868986012337757</v>
          </cell>
          <cell r="I39">
            <v>68.906948017760072</v>
          </cell>
          <cell r="J39">
            <v>88.267971022750189</v>
          </cell>
          <cell r="K39">
            <v>0.22</v>
          </cell>
          <cell r="L39">
            <v>0.3</v>
          </cell>
          <cell r="M39">
            <v>0.37</v>
          </cell>
          <cell r="N39">
            <v>0.94</v>
          </cell>
          <cell r="O39">
            <v>252.4555440650679</v>
          </cell>
          <cell r="P39">
            <v>293.15942707555894</v>
          </cell>
          <cell r="Q39">
            <v>333.71086108601065</v>
          </cell>
          <cell r="R39">
            <v>55.186538014223778</v>
          </cell>
          <cell r="S39">
            <v>86.133685022200098</v>
          </cell>
          <cell r="T39">
            <v>118.91022003064792</v>
          </cell>
          <cell r="U39">
            <v>169.67573704373223</v>
          </cell>
          <cell r="V39">
            <v>265.10881106832915</v>
          </cell>
          <cell r="W39">
            <v>365.725151094262</v>
          </cell>
          <cell r="X39">
            <v>0.63</v>
          </cell>
          <cell r="Y39">
            <v>252.4555440650679</v>
          </cell>
          <cell r="Z39">
            <v>327.76535008447826</v>
          </cell>
          <cell r="AA39">
            <v>404.90454410436013</v>
          </cell>
        </row>
        <row r="40">
          <cell r="B40" t="str">
            <v>1C</v>
          </cell>
          <cell r="C40">
            <v>2615.5</v>
          </cell>
          <cell r="D40">
            <v>0</v>
          </cell>
          <cell r="E40">
            <v>159.15675604102105</v>
          </cell>
          <cell r="F40">
            <v>198.03125105104058</v>
          </cell>
          <cell r="G40">
            <v>228.67350005893832</v>
          </cell>
          <cell r="H40">
            <v>38.11225000982305</v>
          </cell>
          <cell r="I40">
            <v>54.729191014105901</v>
          </cell>
          <cell r="J40">
            <v>69.974091018035125</v>
          </cell>
          <cell r="K40">
            <v>0.21</v>
          </cell>
          <cell r="L40">
            <v>0.28000000000000003</v>
          </cell>
          <cell r="M40">
            <v>0.34</v>
          </cell>
          <cell r="N40">
            <v>0.92</v>
          </cell>
          <cell r="O40">
            <v>216.78247805587353</v>
          </cell>
          <cell r="P40">
            <v>248.33942106400701</v>
          </cell>
          <cell r="Q40">
            <v>283.25024207300493</v>
          </cell>
          <cell r="R40">
            <v>44.210210011394743</v>
          </cell>
          <cell r="S40">
            <v>69.05939701779937</v>
          </cell>
          <cell r="T40">
            <v>95.280625024557636</v>
          </cell>
          <cell r="U40">
            <v>135.98450803504866</v>
          </cell>
          <cell r="V40">
            <v>212.51390605477334</v>
          </cell>
          <cell r="W40">
            <v>293.31187607559821</v>
          </cell>
          <cell r="X40">
            <v>0.66</v>
          </cell>
          <cell r="Y40">
            <v>216.78247805587353</v>
          </cell>
          <cell r="Z40">
            <v>271.05432206986154</v>
          </cell>
          <cell r="AA40">
            <v>335.84514708656076</v>
          </cell>
        </row>
        <row r="41">
          <cell r="B41" t="str">
            <v>2A</v>
          </cell>
          <cell r="C41">
            <v>2271.5</v>
          </cell>
          <cell r="D41">
            <v>0</v>
          </cell>
          <cell r="E41">
            <v>146.8083870378384</v>
          </cell>
          <cell r="F41">
            <v>173.18206404463595</v>
          </cell>
          <cell r="G41">
            <v>201.99492505206217</v>
          </cell>
          <cell r="H41">
            <v>31.404494008094193</v>
          </cell>
          <cell r="I41">
            <v>46.039598011866246</v>
          </cell>
          <cell r="J41">
            <v>58.845314015166792</v>
          </cell>
          <cell r="K41">
            <v>0.19</v>
          </cell>
          <cell r="L41">
            <v>0.27</v>
          </cell>
          <cell r="M41">
            <v>0.32</v>
          </cell>
          <cell r="N41">
            <v>0.89</v>
          </cell>
          <cell r="O41">
            <v>191.47594404935103</v>
          </cell>
          <cell r="P41">
            <v>214.34329405524485</v>
          </cell>
          <cell r="Q41">
            <v>246.3575840634962</v>
          </cell>
          <cell r="R41">
            <v>34.453474008880036</v>
          </cell>
          <cell r="S41">
            <v>53.814497013870152</v>
          </cell>
          <cell r="T41">
            <v>74.242663019135307</v>
          </cell>
          <cell r="U41">
            <v>106.10450402734737</v>
          </cell>
          <cell r="V41">
            <v>165.71206304271064</v>
          </cell>
          <cell r="W41">
            <v>228.67350005893832</v>
          </cell>
          <cell r="X41">
            <v>0.63</v>
          </cell>
          <cell r="Y41">
            <v>191.47594404935103</v>
          </cell>
          <cell r="Z41">
            <v>228.21615305882042</v>
          </cell>
          <cell r="AA41">
            <v>283.70758907312279</v>
          </cell>
        </row>
        <row r="42">
          <cell r="B42" t="str">
            <v>2B</v>
          </cell>
          <cell r="C42">
            <v>1975.5</v>
          </cell>
          <cell r="D42">
            <v>0</v>
          </cell>
          <cell r="E42">
            <v>134.00267103453785</v>
          </cell>
          <cell r="F42">
            <v>155.49798004007806</v>
          </cell>
          <cell r="G42">
            <v>177.29818704569684</v>
          </cell>
          <cell r="H42">
            <v>25.306534006522508</v>
          </cell>
          <cell r="I42">
            <v>39.331842010137393</v>
          </cell>
          <cell r="J42">
            <v>50.003272012887848</v>
          </cell>
          <cell r="K42">
            <v>0.17</v>
          </cell>
          <cell r="L42">
            <v>0.25</v>
          </cell>
          <cell r="M42">
            <v>0.31</v>
          </cell>
          <cell r="N42">
            <v>0.86</v>
          </cell>
          <cell r="O42">
            <v>169.98063504381082</v>
          </cell>
          <cell r="P42">
            <v>189.18920904876163</v>
          </cell>
          <cell r="Q42">
            <v>216.32513105575563</v>
          </cell>
          <cell r="R42">
            <v>26.373677006797553</v>
          </cell>
          <cell r="S42">
            <v>41.161230010608897</v>
          </cell>
          <cell r="T42">
            <v>56.711028014616701</v>
          </cell>
          <cell r="U42">
            <v>80.95041902086416</v>
          </cell>
          <cell r="V42">
            <v>126.53267003261253</v>
          </cell>
          <cell r="W42">
            <v>174.55410504498957</v>
          </cell>
          <cell r="X42">
            <v>0.59</v>
          </cell>
          <cell r="Y42">
            <v>169.98063504381082</v>
          </cell>
          <cell r="Z42">
            <v>196.81165905072623</v>
          </cell>
          <cell r="AA42">
            <v>242.24146106243532</v>
          </cell>
        </row>
        <row r="43">
          <cell r="B43" t="str">
            <v>3A</v>
          </cell>
          <cell r="C43">
            <v>1719.5</v>
          </cell>
          <cell r="D43">
            <v>0</v>
          </cell>
          <cell r="E43">
            <v>114.94654602962632</v>
          </cell>
          <cell r="F43">
            <v>131.71593603394848</v>
          </cell>
          <cell r="G43">
            <v>161.74838904168902</v>
          </cell>
          <cell r="H43">
            <v>20.428166005265155</v>
          </cell>
          <cell r="I43">
            <v>30.337351007819148</v>
          </cell>
          <cell r="J43">
            <v>38.11225000982305</v>
          </cell>
          <cell r="K43">
            <v>0.17</v>
          </cell>
          <cell r="L43">
            <v>0.23</v>
          </cell>
          <cell r="M43">
            <v>0.27</v>
          </cell>
          <cell r="N43">
            <v>0.81</v>
          </cell>
          <cell r="O43">
            <v>143.75940703705254</v>
          </cell>
          <cell r="P43">
            <v>161.13859304153186</v>
          </cell>
          <cell r="Q43">
            <v>184.76818804762215</v>
          </cell>
          <cell r="R43">
            <v>20.275717005225864</v>
          </cell>
          <cell r="S43">
            <v>31.556943008133487</v>
          </cell>
          <cell r="T43">
            <v>43.600414011237575</v>
          </cell>
          <cell r="U43">
            <v>62.199192016031219</v>
          </cell>
          <cell r="V43">
            <v>97.26246202506843</v>
          </cell>
          <cell r="W43">
            <v>134.15512003457715</v>
          </cell>
          <cell r="X43">
            <v>0.54</v>
          </cell>
          <cell r="Y43">
            <v>143.75940703705254</v>
          </cell>
          <cell r="Z43">
            <v>164.03512404227843</v>
          </cell>
          <cell r="AA43">
            <v>201.99492505206217</v>
          </cell>
        </row>
        <row r="46">
          <cell r="B46" t="str">
            <v>Work</v>
          </cell>
          <cell r="C46" t="str">
            <v>Hay
Mid-</v>
          </cell>
          <cell r="D46" t="str">
            <v>Market
data</v>
          </cell>
          <cell r="E46" t="str">
            <v>Salaire de base</v>
          </cell>
          <cell r="F46">
            <v>0</v>
          </cell>
          <cell r="G46">
            <v>0</v>
          </cell>
          <cell r="H46" t="str">
            <v>Bonus (kF)</v>
          </cell>
          <cell r="I46">
            <v>0</v>
          </cell>
          <cell r="J46">
            <v>0</v>
          </cell>
          <cell r="K46" t="str">
            <v>Bonus (%)</v>
          </cell>
          <cell r="L46">
            <v>0</v>
          </cell>
          <cell r="M46">
            <v>0</v>
          </cell>
          <cell r="N46">
            <v>0</v>
          </cell>
          <cell r="O46" t="str">
            <v>Rém. Espèces</v>
          </cell>
          <cell r="P46">
            <v>0</v>
          </cell>
          <cell r="Q46">
            <v>0</v>
          </cell>
          <cell r="R46" t="str">
            <v>LTI Values</v>
          </cell>
          <cell r="S46">
            <v>0</v>
          </cell>
          <cell r="T46">
            <v>0</v>
          </cell>
          <cell r="U46" t="str">
            <v>Stock-option
grant equivalent</v>
          </cell>
          <cell r="V46">
            <v>0</v>
          </cell>
          <cell r="W46">
            <v>0</v>
          </cell>
          <cell r="X46">
            <v>0</v>
          </cell>
          <cell r="Y46" t="str">
            <v>Rém. Totale Directe</v>
          </cell>
        </row>
        <row r="47">
          <cell r="B47" t="str">
            <v>level</v>
          </cell>
          <cell r="C47" t="str">
            <v>point</v>
          </cell>
          <cell r="D47" t="str">
            <v>used</v>
          </cell>
          <cell r="E47">
            <v>25</v>
          </cell>
          <cell r="F47">
            <v>50</v>
          </cell>
          <cell r="G47">
            <v>75</v>
          </cell>
          <cell r="H47">
            <v>25</v>
          </cell>
          <cell r="I47">
            <v>50</v>
          </cell>
          <cell r="J47">
            <v>75</v>
          </cell>
          <cell r="K47">
            <v>25</v>
          </cell>
          <cell r="L47">
            <v>50</v>
          </cell>
          <cell r="M47">
            <v>75</v>
          </cell>
          <cell r="N47" t="str">
            <v>%</v>
          </cell>
          <cell r="O47">
            <v>25</v>
          </cell>
          <cell r="P47">
            <v>50</v>
          </cell>
          <cell r="Q47">
            <v>75</v>
          </cell>
          <cell r="R47">
            <v>25</v>
          </cell>
          <cell r="S47">
            <v>50</v>
          </cell>
          <cell r="T47">
            <v>75</v>
          </cell>
          <cell r="U47">
            <v>25</v>
          </cell>
          <cell r="V47">
            <v>50</v>
          </cell>
          <cell r="W47">
            <v>75</v>
          </cell>
          <cell r="X47" t="str">
            <v>%</v>
          </cell>
          <cell r="Y47">
            <v>25</v>
          </cell>
          <cell r="Z47">
            <v>50</v>
          </cell>
          <cell r="AA47">
            <v>75</v>
          </cell>
        </row>
        <row r="48">
          <cell r="B48" t="str">
            <v>0A</v>
          </cell>
          <cell r="C48">
            <v>8200</v>
          </cell>
          <cell r="D48">
            <v>0</v>
          </cell>
          <cell r="E48">
            <v>470.38904778863849</v>
          </cell>
          <cell r="F48">
            <v>627.86712030918261</v>
          </cell>
          <cell r="G48">
            <v>754.66764623481561</v>
          </cell>
          <cell r="H48">
            <v>268.93982514872158</v>
          </cell>
          <cell r="I48">
            <v>471.41163267513554</v>
          </cell>
          <cell r="J48">
            <v>690.75609082875064</v>
          </cell>
          <cell r="K48">
            <v>0.43</v>
          </cell>
          <cell r="L48">
            <v>0.75</v>
          </cell>
          <cell r="M48">
            <v>1.1000000000000001</v>
          </cell>
          <cell r="N48">
            <v>1</v>
          </cell>
          <cell r="O48">
            <v>818.06790919763216</v>
          </cell>
          <cell r="P48">
            <v>1098.7674605410696</v>
          </cell>
          <cell r="Q48">
            <v>1381.5121816575013</v>
          </cell>
          <cell r="R48">
            <v>112.99562995792294</v>
          </cell>
          <cell r="S48">
            <v>188.15561911545538</v>
          </cell>
          <cell r="T48">
            <v>301.15124907337832</v>
          </cell>
          <cell r="U48">
            <v>347.67886140899367</v>
          </cell>
          <cell r="V48">
            <v>579.29433820057329</v>
          </cell>
          <cell r="W48">
            <v>926.9731996095669</v>
          </cell>
          <cell r="X48">
            <v>0.21</v>
          </cell>
          <cell r="Y48">
            <v>818.06790919763216</v>
          </cell>
          <cell r="Z48">
            <v>1117.1739884980163</v>
          </cell>
          <cell r="AA48">
            <v>1418.3252375713946</v>
          </cell>
        </row>
        <row r="49">
          <cell r="B49" t="str">
            <v>0B</v>
          </cell>
          <cell r="C49">
            <v>5999.5</v>
          </cell>
          <cell r="D49" t="str">
            <v>All</v>
          </cell>
          <cell r="E49">
            <v>407.50007726907052</v>
          </cell>
          <cell r="F49">
            <v>517.93924501075082</v>
          </cell>
          <cell r="G49">
            <v>601.2799132602596</v>
          </cell>
          <cell r="H49">
            <v>186.62174178570982</v>
          </cell>
          <cell r="I49">
            <v>341.03205964676289</v>
          </cell>
          <cell r="J49">
            <v>509.75856591877454</v>
          </cell>
          <cell r="K49">
            <v>0.36</v>
          </cell>
          <cell r="L49">
            <v>0.66</v>
          </cell>
          <cell r="M49">
            <v>0.98</v>
          </cell>
          <cell r="N49">
            <v>1</v>
          </cell>
          <cell r="O49">
            <v>649.34140292562051</v>
          </cell>
          <cell r="P49">
            <v>858.97130465751377</v>
          </cell>
          <cell r="Q49">
            <v>1069.6237912759041</v>
          </cell>
          <cell r="R49">
            <v>86.919715352248417</v>
          </cell>
          <cell r="S49">
            <v>145.20705388257971</v>
          </cell>
          <cell r="T49">
            <v>232.12676923482812</v>
          </cell>
          <cell r="U49">
            <v>267.91724026222454</v>
          </cell>
          <cell r="V49">
            <v>446.35830295595804</v>
          </cell>
          <cell r="W49">
            <v>713.764250774934</v>
          </cell>
          <cell r="X49">
            <v>0.19</v>
          </cell>
          <cell r="Y49">
            <v>649.34140292562051</v>
          </cell>
          <cell r="Z49">
            <v>870.21973840898113</v>
          </cell>
          <cell r="AA49">
            <v>1092.6319512220873</v>
          </cell>
        </row>
        <row r="50">
          <cell r="B50" t="str">
            <v>0C</v>
          </cell>
          <cell r="C50">
            <v>4911.5</v>
          </cell>
          <cell r="D50" t="str">
            <v>industries</v>
          </cell>
          <cell r="E50">
            <v>372.22089868492264</v>
          </cell>
          <cell r="F50">
            <v>458.6293215939225</v>
          </cell>
          <cell r="G50">
            <v>522.54087699998752</v>
          </cell>
          <cell r="H50">
            <v>150.3199783150649</v>
          </cell>
          <cell r="I50">
            <v>281.21084378668604</v>
          </cell>
          <cell r="J50">
            <v>424.37272789627167</v>
          </cell>
          <cell r="K50">
            <v>0.33</v>
          </cell>
          <cell r="L50">
            <v>0.61</v>
          </cell>
          <cell r="M50">
            <v>0.93</v>
          </cell>
          <cell r="N50">
            <v>1</v>
          </cell>
          <cell r="O50">
            <v>566.00073467611173</v>
          </cell>
          <cell r="P50">
            <v>739.8401653806086</v>
          </cell>
          <cell r="Q50">
            <v>915.21347341485091</v>
          </cell>
          <cell r="R50">
            <v>71.580942054792814</v>
          </cell>
          <cell r="S50">
            <v>119.13113927690517</v>
          </cell>
          <cell r="T50">
            <v>190.71208133169799</v>
          </cell>
          <cell r="U50">
            <v>220.36704304011215</v>
          </cell>
          <cell r="V50">
            <v>367.10797425243743</v>
          </cell>
          <cell r="W50">
            <v>587.47501729254952</v>
          </cell>
          <cell r="X50">
            <v>0.17</v>
          </cell>
          <cell r="Y50">
            <v>566.00073467611173</v>
          </cell>
          <cell r="Z50">
            <v>747.50955202933631</v>
          </cell>
          <cell r="AA50">
            <v>930.04095426905803</v>
          </cell>
        </row>
        <row r="51">
          <cell r="B51" t="str">
            <v>0D</v>
          </cell>
          <cell r="C51">
            <v>3951.5</v>
          </cell>
          <cell r="D51" t="str">
            <v>Vorstand</v>
          </cell>
          <cell r="E51">
            <v>337.96430498727176</v>
          </cell>
          <cell r="F51">
            <v>403.92103016633087</v>
          </cell>
          <cell r="G51">
            <v>450.44864250194621</v>
          </cell>
          <cell r="H51">
            <v>121.17630904989926</v>
          </cell>
          <cell r="I51">
            <v>231.10418434833107</v>
          </cell>
          <cell r="J51">
            <v>351.76920095498184</v>
          </cell>
          <cell r="K51">
            <v>0.3</v>
          </cell>
          <cell r="L51">
            <v>0.56999999999999995</v>
          </cell>
          <cell r="M51">
            <v>0.87</v>
          </cell>
          <cell r="N51">
            <v>1</v>
          </cell>
          <cell r="O51">
            <v>492.37462284832486</v>
          </cell>
          <cell r="P51">
            <v>635.02521451466191</v>
          </cell>
          <cell r="Q51">
            <v>779.20968351074464</v>
          </cell>
          <cell r="R51">
            <v>58.28733853033129</v>
          </cell>
          <cell r="S51">
            <v>97.145564217218819</v>
          </cell>
          <cell r="T51">
            <v>154.92161030430159</v>
          </cell>
          <cell r="U51">
            <v>178.95235513698202</v>
          </cell>
          <cell r="V51">
            <v>298.08349441388719</v>
          </cell>
          <cell r="W51">
            <v>477.54714199411774</v>
          </cell>
          <cell r="X51">
            <v>0.15</v>
          </cell>
          <cell r="Y51">
            <v>492.37462284832486</v>
          </cell>
          <cell r="Z51">
            <v>639.62684650389861</v>
          </cell>
          <cell r="AA51">
            <v>787.39036260272087</v>
          </cell>
        </row>
        <row r="52">
          <cell r="B52" t="str">
            <v>1A</v>
          </cell>
          <cell r="C52">
            <v>3439.5</v>
          </cell>
          <cell r="D52" t="str">
            <v>Members</v>
          </cell>
          <cell r="E52">
            <v>329.67594625540437</v>
          </cell>
          <cell r="F52">
            <v>387.44874069566015</v>
          </cell>
          <cell r="G52">
            <v>426.67063783858606</v>
          </cell>
          <cell r="H52">
            <v>80.778345549801841</v>
          </cell>
          <cell r="I52">
            <v>155.01749169795306</v>
          </cell>
          <cell r="J52">
            <v>236.18049603608728</v>
          </cell>
          <cell r="K52">
            <v>0.20563636363636362</v>
          </cell>
          <cell r="L52">
            <v>0.39</v>
          </cell>
          <cell r="M52">
            <v>0.59563636363636363</v>
          </cell>
          <cell r="N52">
            <v>0.98</v>
          </cell>
          <cell r="O52">
            <v>424.20572100683256</v>
          </cell>
          <cell r="P52">
            <v>542.46623239361315</v>
          </cell>
          <cell r="Q52">
            <v>661.68431877137994</v>
          </cell>
          <cell r="R52">
            <v>49.084074551857924</v>
          </cell>
          <cell r="S52">
            <v>82.318083363011738</v>
          </cell>
          <cell r="T52">
            <v>131.40215791486966</v>
          </cell>
          <cell r="U52">
            <v>151.85385564481047</v>
          </cell>
          <cell r="V52">
            <v>253.08975940801744</v>
          </cell>
          <cell r="W52">
            <v>404.43232260957939</v>
          </cell>
          <cell r="X52">
            <v>0.12</v>
          </cell>
          <cell r="Y52">
            <v>424.20572100683256</v>
          </cell>
          <cell r="Z52">
            <v>542.48128228667986</v>
          </cell>
          <cell r="AA52">
            <v>664.16888377982752</v>
          </cell>
        </row>
        <row r="53">
          <cell r="B53" t="str">
            <v>1B</v>
          </cell>
          <cell r="C53">
            <v>2999.5</v>
          </cell>
          <cell r="D53">
            <v>0</v>
          </cell>
          <cell r="E53">
            <v>296.34605366724878</v>
          </cell>
          <cell r="F53">
            <v>370.97645122498943</v>
          </cell>
          <cell r="G53">
            <v>438.67277224833509</v>
          </cell>
          <cell r="H53">
            <v>40.787257010168645</v>
          </cell>
          <cell r="I53">
            <v>78.739036260272087</v>
          </cell>
          <cell r="J53">
            <v>120.18063429199425</v>
          </cell>
          <cell r="K53">
            <v>0.11094339622641509</v>
          </cell>
          <cell r="L53">
            <v>0.21</v>
          </cell>
          <cell r="M53">
            <v>0.3209433962264151</v>
          </cell>
          <cell r="N53">
            <v>0.95</v>
          </cell>
          <cell r="O53">
            <v>323.06773318520885</v>
          </cell>
          <cell r="P53">
            <v>449.90725027256445</v>
          </cell>
          <cell r="Q53">
            <v>574.07935468349081</v>
          </cell>
          <cell r="R53">
            <v>44.320195500330591</v>
          </cell>
          <cell r="S53">
            <v>74.414155407962468</v>
          </cell>
          <cell r="T53">
            <v>118.73435090829307</v>
          </cell>
          <cell r="U53">
            <v>136.79072685287218</v>
          </cell>
          <cell r="V53">
            <v>228.16693239059083</v>
          </cell>
          <cell r="W53">
            <v>365.50482215087447</v>
          </cell>
          <cell r="X53">
            <v>0.11</v>
          </cell>
          <cell r="Y53">
            <v>323.06773318520885</v>
          </cell>
          <cell r="Z53">
            <v>449.93735005869769</v>
          </cell>
          <cell r="AA53">
            <v>575.20399865458512</v>
          </cell>
        </row>
        <row r="54">
          <cell r="B54" t="str">
            <v>1C</v>
          </cell>
          <cell r="C54">
            <v>2615.5</v>
          </cell>
          <cell r="D54" t="str">
            <v>All</v>
          </cell>
          <cell r="E54">
            <v>262.91587217146952</v>
          </cell>
          <cell r="F54">
            <v>325.45588048559563</v>
          </cell>
          <cell r="G54">
            <v>382.29480421807028</v>
          </cell>
          <cell r="H54">
            <v>33.462992543406209</v>
          </cell>
          <cell r="I54">
            <v>64.934140292562049</v>
          </cell>
          <cell r="J54">
            <v>100.7873465890687</v>
          </cell>
          <cell r="K54">
            <v>0.10384615384615385</v>
          </cell>
          <cell r="L54">
            <v>0.2</v>
          </cell>
          <cell r="M54">
            <v>0.3</v>
          </cell>
          <cell r="N54">
            <v>0.93</v>
          </cell>
          <cell r="O54">
            <v>284.53477129901762</v>
          </cell>
          <cell r="P54">
            <v>390.27206305503779</v>
          </cell>
          <cell r="Q54">
            <v>493.73461473104629</v>
          </cell>
          <cell r="R54">
            <v>35.072899957243266</v>
          </cell>
          <cell r="S54">
            <v>58.798685222437236</v>
          </cell>
          <cell r="T54">
            <v>93.871585179680508</v>
          </cell>
          <cell r="U54">
            <v>108.31336751501595</v>
          </cell>
          <cell r="V54">
            <v>180.52227919169326</v>
          </cell>
          <cell r="W54">
            <v>288.31986876616156</v>
          </cell>
          <cell r="X54">
            <v>0.1</v>
          </cell>
          <cell r="Y54">
            <v>284.53477129901762</v>
          </cell>
          <cell r="Z54">
            <v>390.11613419862084</v>
          </cell>
          <cell r="AA54">
            <v>493.73461473104629</v>
          </cell>
        </row>
        <row r="55">
          <cell r="B55" t="str">
            <v>2A</v>
          </cell>
          <cell r="C55">
            <v>2271.5</v>
          </cell>
          <cell r="D55" t="str">
            <v>Industries</v>
          </cell>
          <cell r="E55">
            <v>232.96800124816713</v>
          </cell>
          <cell r="F55">
            <v>284.67703586488966</v>
          </cell>
          <cell r="G55">
            <v>331.78954119095914</v>
          </cell>
          <cell r="H55">
            <v>27.048236845208152</v>
          </cell>
          <cell r="I55">
            <v>52.151829211349046</v>
          </cell>
          <cell r="J55">
            <v>80.614352950424291</v>
          </cell>
          <cell r="K55">
            <v>9.3600000000000003E-2</v>
          </cell>
          <cell r="L55">
            <v>0.18</v>
          </cell>
          <cell r="M55">
            <v>0.27360000000000001</v>
          </cell>
          <cell r="N55">
            <v>0.9</v>
          </cell>
          <cell r="O55">
            <v>250.01565960930557</v>
          </cell>
          <cell r="P55">
            <v>336.84887450600525</v>
          </cell>
          <cell r="Q55">
            <v>421.75911852364715</v>
          </cell>
          <cell r="R55">
            <v>27.112098653799016</v>
          </cell>
          <cell r="S55">
            <v>45.509594168876916</v>
          </cell>
          <cell r="T55">
            <v>73.105837441493762</v>
          </cell>
          <cell r="U55">
            <v>84.24116367430409</v>
          </cell>
          <cell r="V55">
            <v>140.40193945717346</v>
          </cell>
          <cell r="W55">
            <v>224.15895851265969</v>
          </cell>
          <cell r="X55">
            <v>0.08</v>
          </cell>
          <cell r="Y55">
            <v>250.01565960930557</v>
          </cell>
          <cell r="Z55">
            <v>336.94172010077472</v>
          </cell>
          <cell r="AA55">
            <v>421.75911852364715</v>
          </cell>
        </row>
        <row r="56">
          <cell r="B56" t="str">
            <v>2B</v>
          </cell>
          <cell r="C56">
            <v>1975.5</v>
          </cell>
          <cell r="D56" t="str">
            <v>Non Vorstand</v>
          </cell>
          <cell r="E56">
            <v>207.19890301183682</v>
          </cell>
          <cell r="F56">
            <v>249.58826258660758</v>
          </cell>
          <cell r="G56">
            <v>288.33152416763033</v>
          </cell>
          <cell r="H56">
            <v>9.3032994565002447</v>
          </cell>
          <cell r="I56">
            <v>41.41468790313013</v>
          </cell>
          <cell r="J56">
            <v>78.927992163211769</v>
          </cell>
          <cell r="K56">
            <v>3.4000000000000002E-2</v>
          </cell>
          <cell r="L56">
            <v>0.17</v>
          </cell>
          <cell r="M56">
            <v>0.31280000000000002</v>
          </cell>
          <cell r="N56">
            <v>0.85</v>
          </cell>
          <cell r="O56">
            <v>220.31316815536698</v>
          </cell>
          <cell r="P56">
            <v>290.88008435916254</v>
          </cell>
          <cell r="Q56">
            <v>359.82671481030332</v>
          </cell>
          <cell r="R56">
            <v>20.985059645027832</v>
          </cell>
          <cell r="S56">
            <v>34.826269198131293</v>
          </cell>
          <cell r="T56">
            <v>55.811328843159124</v>
          </cell>
          <cell r="U56">
            <v>64.294650827319316</v>
          </cell>
          <cell r="V56">
            <v>107.60424200961079</v>
          </cell>
          <cell r="W56">
            <v>171.89889283693012</v>
          </cell>
          <cell r="X56">
            <v>0.06</v>
          </cell>
          <cell r="Y56">
            <v>220.31316815536698</v>
          </cell>
          <cell r="Z56">
            <v>290.92540020840795</v>
          </cell>
          <cell r="AA56">
            <v>359.82671481030332</v>
          </cell>
        </row>
        <row r="57">
          <cell r="B57" t="str">
            <v>3A</v>
          </cell>
          <cell r="C57">
            <v>1719.5</v>
          </cell>
          <cell r="D57" t="str">
            <v>Members</v>
          </cell>
          <cell r="E57">
            <v>183.5548959485366</v>
          </cell>
          <cell r="F57">
            <v>218.29887916771406</v>
          </cell>
          <cell r="G57">
            <v>250.20311859246715</v>
          </cell>
          <cell r="H57">
            <v>5.3193177123286404</v>
          </cell>
          <cell r="I57">
            <v>32.211423924656764</v>
          </cell>
          <cell r="J57">
            <v>63.536294897258756</v>
          </cell>
          <cell r="K57">
            <v>2.6086956521739129E-2</v>
          </cell>
          <cell r="L57">
            <v>0.15</v>
          </cell>
          <cell r="M57">
            <v>0.28695652173913044</v>
          </cell>
          <cell r="N57">
            <v>0.8</v>
          </cell>
          <cell r="O57">
            <v>193.75504214238495</v>
          </cell>
          <cell r="P57">
            <v>250.7345457321307</v>
          </cell>
          <cell r="Q57">
            <v>306.07051893652113</v>
          </cell>
          <cell r="R57">
            <v>15.81875935997928</v>
          </cell>
          <cell r="S57">
            <v>26.213944082251377</v>
          </cell>
          <cell r="T57">
            <v>42.032703442230655</v>
          </cell>
          <cell r="U57">
            <v>48.360207186222368</v>
          </cell>
          <cell r="V57">
            <v>80.449690459323193</v>
          </cell>
          <cell r="W57">
            <v>128.80989764554556</v>
          </cell>
          <cell r="X57">
            <v>0.04</v>
          </cell>
          <cell r="Y57">
            <v>193.75504214238495</v>
          </cell>
          <cell r="Z57">
            <v>250.53329719177484</v>
          </cell>
          <cell r="AA57">
            <v>306.07051893652113</v>
          </cell>
        </row>
        <row r="60">
          <cell r="B60" t="str">
            <v>Work</v>
          </cell>
          <cell r="C60" t="str">
            <v>Hay
Mid-</v>
          </cell>
          <cell r="D60" t="str">
            <v>Market
data</v>
          </cell>
          <cell r="E60" t="str">
            <v>Salaire de base</v>
          </cell>
          <cell r="F60">
            <v>0</v>
          </cell>
          <cell r="G60">
            <v>0</v>
          </cell>
          <cell r="H60" t="str">
            <v>Bonus (kF)</v>
          </cell>
          <cell r="I60">
            <v>0</v>
          </cell>
          <cell r="J60">
            <v>0</v>
          </cell>
          <cell r="K60" t="str">
            <v>Bonus (%)</v>
          </cell>
          <cell r="L60">
            <v>0</v>
          </cell>
          <cell r="M60">
            <v>0</v>
          </cell>
          <cell r="N60">
            <v>0</v>
          </cell>
          <cell r="O60" t="str">
            <v>Rém. Espèces</v>
          </cell>
          <cell r="P60">
            <v>0</v>
          </cell>
          <cell r="Q60">
            <v>0</v>
          </cell>
          <cell r="R60" t="str">
            <v>LTI Values</v>
          </cell>
          <cell r="S60">
            <v>0</v>
          </cell>
          <cell r="T60">
            <v>0</v>
          </cell>
          <cell r="U60" t="str">
            <v>Stock-option
grant equivalent</v>
          </cell>
          <cell r="V60">
            <v>0</v>
          </cell>
          <cell r="W60">
            <v>0</v>
          </cell>
          <cell r="X60">
            <v>0</v>
          </cell>
          <cell r="Y60" t="str">
            <v>Rém. Totale Directe</v>
          </cell>
        </row>
        <row r="61">
          <cell r="B61" t="str">
            <v>level</v>
          </cell>
          <cell r="C61" t="str">
            <v>point</v>
          </cell>
          <cell r="D61" t="str">
            <v>used</v>
          </cell>
          <cell r="E61">
            <v>25</v>
          </cell>
          <cell r="F61">
            <v>50</v>
          </cell>
          <cell r="G61">
            <v>75</v>
          </cell>
          <cell r="H61">
            <v>25</v>
          </cell>
          <cell r="I61">
            <v>50</v>
          </cell>
          <cell r="J61">
            <v>75</v>
          </cell>
          <cell r="K61">
            <v>25</v>
          </cell>
          <cell r="L61">
            <v>50</v>
          </cell>
          <cell r="M61">
            <v>75</v>
          </cell>
          <cell r="N61" t="str">
            <v>%</v>
          </cell>
          <cell r="O61">
            <v>25</v>
          </cell>
          <cell r="P61">
            <v>50</v>
          </cell>
          <cell r="Q61">
            <v>75</v>
          </cell>
          <cell r="R61">
            <v>25</v>
          </cell>
          <cell r="S61">
            <v>50</v>
          </cell>
          <cell r="T61">
            <v>75</v>
          </cell>
          <cell r="U61">
            <v>25</v>
          </cell>
          <cell r="V61">
            <v>50</v>
          </cell>
          <cell r="W61">
            <v>75</v>
          </cell>
          <cell r="X61" t="str">
            <v>%</v>
          </cell>
          <cell r="Y61">
            <v>25</v>
          </cell>
          <cell r="Z61">
            <v>50</v>
          </cell>
          <cell r="AA61">
            <v>75</v>
          </cell>
        </row>
        <row r="62">
          <cell r="B62" t="str">
            <v>0A</v>
          </cell>
          <cell r="C62">
            <v>8200</v>
          </cell>
          <cell r="D62">
            <v>0</v>
          </cell>
          <cell r="E62">
            <v>470.38904778863849</v>
          </cell>
          <cell r="F62">
            <v>627.86712030918261</v>
          </cell>
          <cell r="G62">
            <v>754.66764623481561</v>
          </cell>
          <cell r="H62">
            <v>268.93982514872158</v>
          </cell>
          <cell r="I62">
            <v>471.41163267513554</v>
          </cell>
          <cell r="J62">
            <v>690.75609082875064</v>
          </cell>
          <cell r="K62">
            <v>0.43</v>
          </cell>
          <cell r="L62">
            <v>0.75</v>
          </cell>
          <cell r="M62">
            <v>1.1000000000000001</v>
          </cell>
          <cell r="N62">
            <v>1</v>
          </cell>
          <cell r="O62">
            <v>818.06790919763216</v>
          </cell>
          <cell r="P62">
            <v>1098.7674605410696</v>
          </cell>
          <cell r="Q62">
            <v>1381.5121816575013</v>
          </cell>
          <cell r="R62">
            <v>112.99562995792294</v>
          </cell>
          <cell r="S62">
            <v>188.15561911545538</v>
          </cell>
          <cell r="T62">
            <v>301.15124907337832</v>
          </cell>
          <cell r="U62">
            <v>347.67886140899367</v>
          </cell>
          <cell r="V62">
            <v>579.29433820057329</v>
          </cell>
          <cell r="W62">
            <v>926.9731996095669</v>
          </cell>
          <cell r="X62">
            <v>0.21</v>
          </cell>
          <cell r="Y62">
            <v>818.06790919763216</v>
          </cell>
          <cell r="Z62">
            <v>1117.1739884980163</v>
          </cell>
          <cell r="AA62">
            <v>1418.3252375713946</v>
          </cell>
        </row>
        <row r="63">
          <cell r="B63" t="str">
            <v>0B</v>
          </cell>
          <cell r="C63">
            <v>5999.5</v>
          </cell>
          <cell r="D63" t="str">
            <v>All</v>
          </cell>
          <cell r="E63">
            <v>407.50007726907052</v>
          </cell>
          <cell r="F63">
            <v>517.93924501075082</v>
          </cell>
          <cell r="G63">
            <v>601.2799132602596</v>
          </cell>
          <cell r="H63">
            <v>186.62174178570982</v>
          </cell>
          <cell r="I63">
            <v>341.03205964676289</v>
          </cell>
          <cell r="J63">
            <v>509.75856591877454</v>
          </cell>
          <cell r="K63">
            <v>0.36</v>
          </cell>
          <cell r="L63">
            <v>0.66</v>
          </cell>
          <cell r="M63">
            <v>0.98</v>
          </cell>
          <cell r="N63">
            <v>1</v>
          </cell>
          <cell r="O63">
            <v>649.34140292562051</v>
          </cell>
          <cell r="P63">
            <v>858.97130465751377</v>
          </cell>
          <cell r="Q63">
            <v>1069.6237912759041</v>
          </cell>
          <cell r="R63">
            <v>86.919715352248417</v>
          </cell>
          <cell r="S63">
            <v>145.20705388257971</v>
          </cell>
          <cell r="T63">
            <v>232.12676923482812</v>
          </cell>
          <cell r="U63">
            <v>267.91724026222454</v>
          </cell>
          <cell r="V63">
            <v>446.35830295595804</v>
          </cell>
          <cell r="W63">
            <v>713.764250774934</v>
          </cell>
          <cell r="X63">
            <v>0.19</v>
          </cell>
          <cell r="Y63">
            <v>649.34140292562051</v>
          </cell>
          <cell r="Z63">
            <v>870.21973840898113</v>
          </cell>
          <cell r="AA63">
            <v>1092.6319512220873</v>
          </cell>
        </row>
        <row r="64">
          <cell r="B64" t="str">
            <v>0C</v>
          </cell>
          <cell r="C64">
            <v>4911.5</v>
          </cell>
          <cell r="D64" t="str">
            <v>industries</v>
          </cell>
          <cell r="E64">
            <v>372.22089868492264</v>
          </cell>
          <cell r="F64">
            <v>458.6293215939225</v>
          </cell>
          <cell r="G64">
            <v>522.54087699998752</v>
          </cell>
          <cell r="H64">
            <v>150.3199783150649</v>
          </cell>
          <cell r="I64">
            <v>281.21084378668604</v>
          </cell>
          <cell r="J64">
            <v>424.37272789627167</v>
          </cell>
          <cell r="K64">
            <v>0.33</v>
          </cell>
          <cell r="L64">
            <v>0.61</v>
          </cell>
          <cell r="M64">
            <v>0.93</v>
          </cell>
          <cell r="N64">
            <v>1</v>
          </cell>
          <cell r="O64">
            <v>566.00073467611173</v>
          </cell>
          <cell r="P64">
            <v>739.8401653806086</v>
          </cell>
          <cell r="Q64">
            <v>915.21347341485091</v>
          </cell>
          <cell r="R64">
            <v>71.580942054792814</v>
          </cell>
          <cell r="S64">
            <v>119.13113927690517</v>
          </cell>
          <cell r="T64">
            <v>190.71208133169799</v>
          </cell>
          <cell r="U64">
            <v>220.36704304011215</v>
          </cell>
          <cell r="V64">
            <v>367.10797425243743</v>
          </cell>
          <cell r="W64">
            <v>587.47501729254952</v>
          </cell>
          <cell r="X64">
            <v>0.17</v>
          </cell>
          <cell r="Y64">
            <v>566.00073467611173</v>
          </cell>
          <cell r="Z64">
            <v>747.50955202933631</v>
          </cell>
          <cell r="AA64">
            <v>930.04095426905803</v>
          </cell>
        </row>
        <row r="65">
          <cell r="B65" t="str">
            <v>0D</v>
          </cell>
          <cell r="C65">
            <v>3951.5</v>
          </cell>
          <cell r="D65" t="str">
            <v>Vorstand</v>
          </cell>
          <cell r="E65">
            <v>337.96430498727176</v>
          </cell>
          <cell r="F65">
            <v>403.92103016633087</v>
          </cell>
          <cell r="G65">
            <v>450.44864250194621</v>
          </cell>
          <cell r="H65">
            <v>121.17630904989926</v>
          </cell>
          <cell r="I65">
            <v>231.10418434833107</v>
          </cell>
          <cell r="J65">
            <v>351.76920095498184</v>
          </cell>
          <cell r="K65">
            <v>0.3</v>
          </cell>
          <cell r="L65">
            <v>0.56999999999999995</v>
          </cell>
          <cell r="M65">
            <v>0.87</v>
          </cell>
          <cell r="N65">
            <v>1</v>
          </cell>
          <cell r="O65">
            <v>492.37462284832486</v>
          </cell>
          <cell r="P65">
            <v>635.02521451466191</v>
          </cell>
          <cell r="Q65">
            <v>779.20968351074464</v>
          </cell>
          <cell r="R65">
            <v>58.28733853033129</v>
          </cell>
          <cell r="S65">
            <v>97.145564217218819</v>
          </cell>
          <cell r="T65">
            <v>154.92161030430159</v>
          </cell>
          <cell r="U65">
            <v>178.95235513698202</v>
          </cell>
          <cell r="V65">
            <v>298.08349441388719</v>
          </cell>
          <cell r="W65">
            <v>477.54714199411774</v>
          </cell>
          <cell r="X65">
            <v>0.15</v>
          </cell>
          <cell r="Y65">
            <v>492.37462284832486</v>
          </cell>
          <cell r="Z65">
            <v>639.62684650389861</v>
          </cell>
          <cell r="AA65">
            <v>787.39036260272087</v>
          </cell>
        </row>
        <row r="66">
          <cell r="B66" t="str">
            <v>1A</v>
          </cell>
          <cell r="C66">
            <v>3439.5</v>
          </cell>
          <cell r="D66" t="str">
            <v>Members</v>
          </cell>
          <cell r="E66">
            <v>329.67594625540437</v>
          </cell>
          <cell r="F66">
            <v>387.44874069566015</v>
          </cell>
          <cell r="G66">
            <v>426.67063783858606</v>
          </cell>
          <cell r="H66">
            <v>80.778345549801841</v>
          </cell>
          <cell r="I66">
            <v>155.01749169795306</v>
          </cell>
          <cell r="J66">
            <v>236.18049603608728</v>
          </cell>
          <cell r="K66">
            <v>0.20563636363636362</v>
          </cell>
          <cell r="L66">
            <v>0.39</v>
          </cell>
          <cell r="M66">
            <v>0.59563636363636363</v>
          </cell>
          <cell r="N66">
            <v>0.98</v>
          </cell>
          <cell r="O66">
            <v>424.20572100683256</v>
          </cell>
          <cell r="P66">
            <v>542.46623239361315</v>
          </cell>
          <cell r="Q66">
            <v>661.68431877137994</v>
          </cell>
          <cell r="R66">
            <v>49.084074551857924</v>
          </cell>
          <cell r="S66">
            <v>82.318083363011738</v>
          </cell>
          <cell r="T66">
            <v>131.40215791486966</v>
          </cell>
          <cell r="U66">
            <v>151.85385564481047</v>
          </cell>
          <cell r="V66">
            <v>253.08975940801744</v>
          </cell>
          <cell r="W66">
            <v>404.43232260957939</v>
          </cell>
          <cell r="X66">
            <v>0.12</v>
          </cell>
          <cell r="Y66">
            <v>424.20572100683256</v>
          </cell>
          <cell r="Z66">
            <v>542.48128228667986</v>
          </cell>
          <cell r="AA66">
            <v>664.16888377982752</v>
          </cell>
        </row>
        <row r="67">
          <cell r="B67" t="str">
            <v>1B</v>
          </cell>
          <cell r="C67">
            <v>2999.5</v>
          </cell>
          <cell r="D67">
            <v>0</v>
          </cell>
          <cell r="E67">
            <v>296.34605366724878</v>
          </cell>
          <cell r="F67">
            <v>370.97645122498943</v>
          </cell>
          <cell r="G67">
            <v>438.67277224833509</v>
          </cell>
          <cell r="H67">
            <v>40.787257010168645</v>
          </cell>
          <cell r="I67">
            <v>78.739036260272087</v>
          </cell>
          <cell r="J67">
            <v>120.18063429199425</v>
          </cell>
          <cell r="K67">
            <v>0.11094339622641509</v>
          </cell>
          <cell r="L67">
            <v>0.21</v>
          </cell>
          <cell r="M67">
            <v>0.3209433962264151</v>
          </cell>
          <cell r="N67">
            <v>0.95</v>
          </cell>
          <cell r="O67">
            <v>323.06773318520885</v>
          </cell>
          <cell r="P67">
            <v>449.90725027256445</v>
          </cell>
          <cell r="Q67">
            <v>574.07935468349081</v>
          </cell>
          <cell r="R67">
            <v>44.320195500330591</v>
          </cell>
          <cell r="S67">
            <v>74.414155407962468</v>
          </cell>
          <cell r="T67">
            <v>118.73435090829307</v>
          </cell>
          <cell r="U67">
            <v>136.79072685287218</v>
          </cell>
          <cell r="V67">
            <v>228.16693239059083</v>
          </cell>
          <cell r="W67">
            <v>365.50482215087447</v>
          </cell>
          <cell r="X67">
            <v>0.11</v>
          </cell>
          <cell r="Y67">
            <v>323.06773318520885</v>
          </cell>
          <cell r="Z67">
            <v>449.93735005869769</v>
          </cell>
          <cell r="AA67">
            <v>575.20399865458512</v>
          </cell>
        </row>
        <row r="68">
          <cell r="B68" t="str">
            <v>1C</v>
          </cell>
          <cell r="C68">
            <v>2615.5</v>
          </cell>
          <cell r="D68" t="str">
            <v>All</v>
          </cell>
          <cell r="E68">
            <v>262.91587217146952</v>
          </cell>
          <cell r="F68">
            <v>325.45588048559563</v>
          </cell>
          <cell r="G68">
            <v>382.29480421807028</v>
          </cell>
          <cell r="H68">
            <v>33.462992543406209</v>
          </cell>
          <cell r="I68">
            <v>64.934140292562049</v>
          </cell>
          <cell r="J68">
            <v>100.7873465890687</v>
          </cell>
          <cell r="K68">
            <v>0.10384615384615385</v>
          </cell>
          <cell r="L68">
            <v>0.2</v>
          </cell>
          <cell r="M68">
            <v>0.3</v>
          </cell>
          <cell r="N68">
            <v>0.93</v>
          </cell>
          <cell r="O68">
            <v>284.53477129901762</v>
          </cell>
          <cell r="P68">
            <v>390.27206305503779</v>
          </cell>
          <cell r="Q68">
            <v>493.73461473104629</v>
          </cell>
          <cell r="R68">
            <v>35.072899957243266</v>
          </cell>
          <cell r="S68">
            <v>58.798685222437236</v>
          </cell>
          <cell r="T68">
            <v>93.871585179680508</v>
          </cell>
          <cell r="U68">
            <v>108.31336751501595</v>
          </cell>
          <cell r="V68">
            <v>180.52227919169326</v>
          </cell>
          <cell r="W68">
            <v>288.31986876616156</v>
          </cell>
          <cell r="X68">
            <v>0.1</v>
          </cell>
          <cell r="Y68">
            <v>284.53477129901762</v>
          </cell>
          <cell r="Z68">
            <v>390.11613419862084</v>
          </cell>
          <cell r="AA68">
            <v>493.73461473104629</v>
          </cell>
        </row>
        <row r="69">
          <cell r="B69" t="str">
            <v>2A</v>
          </cell>
          <cell r="C69">
            <v>2271.5</v>
          </cell>
          <cell r="D69" t="str">
            <v>Industries</v>
          </cell>
          <cell r="E69">
            <v>232.96800124816713</v>
          </cell>
          <cell r="F69">
            <v>284.67703586488966</v>
          </cell>
          <cell r="G69">
            <v>331.78954119095914</v>
          </cell>
          <cell r="H69">
            <v>27.048236845208152</v>
          </cell>
          <cell r="I69">
            <v>52.151829211349046</v>
          </cell>
          <cell r="J69">
            <v>80.614352950424291</v>
          </cell>
          <cell r="K69">
            <v>9.3600000000000003E-2</v>
          </cell>
          <cell r="L69">
            <v>0.18</v>
          </cell>
          <cell r="M69">
            <v>0.27360000000000001</v>
          </cell>
          <cell r="N69">
            <v>0.9</v>
          </cell>
          <cell r="O69">
            <v>250.01565960930557</v>
          </cell>
          <cell r="P69">
            <v>336.84887450600525</v>
          </cell>
          <cell r="Q69">
            <v>421.75911852364715</v>
          </cell>
          <cell r="R69">
            <v>27.112098653799016</v>
          </cell>
          <cell r="S69">
            <v>45.509594168876916</v>
          </cell>
          <cell r="T69">
            <v>73.105837441493762</v>
          </cell>
          <cell r="U69">
            <v>84.24116367430409</v>
          </cell>
          <cell r="V69">
            <v>140.40193945717346</v>
          </cell>
          <cell r="W69">
            <v>224.15895851265969</v>
          </cell>
          <cell r="X69">
            <v>0.08</v>
          </cell>
          <cell r="Y69">
            <v>250.01565960930557</v>
          </cell>
          <cell r="Z69">
            <v>336.94172010077472</v>
          </cell>
          <cell r="AA69">
            <v>421.75911852364715</v>
          </cell>
        </row>
        <row r="70">
          <cell r="B70" t="str">
            <v>2B</v>
          </cell>
          <cell r="C70">
            <v>1975.5</v>
          </cell>
          <cell r="D70" t="str">
            <v>Non Vorstand</v>
          </cell>
          <cell r="E70">
            <v>207.19890301183682</v>
          </cell>
          <cell r="F70">
            <v>249.58826258660758</v>
          </cell>
          <cell r="G70">
            <v>288.33152416763033</v>
          </cell>
          <cell r="H70">
            <v>9.3032994565002447</v>
          </cell>
          <cell r="I70">
            <v>41.41468790313013</v>
          </cell>
          <cell r="J70">
            <v>78.927992163211769</v>
          </cell>
          <cell r="K70">
            <v>3.4000000000000002E-2</v>
          </cell>
          <cell r="L70">
            <v>0.17</v>
          </cell>
          <cell r="M70">
            <v>0.31280000000000002</v>
          </cell>
          <cell r="N70">
            <v>0.85</v>
          </cell>
          <cell r="O70">
            <v>220.31316815536698</v>
          </cell>
          <cell r="P70">
            <v>290.88008435916254</v>
          </cell>
          <cell r="Q70">
            <v>359.82671481030332</v>
          </cell>
          <cell r="R70">
            <v>20.985059645027832</v>
          </cell>
          <cell r="S70">
            <v>34.826269198131293</v>
          </cell>
          <cell r="T70">
            <v>55.811328843159124</v>
          </cell>
          <cell r="U70">
            <v>64.294650827319316</v>
          </cell>
          <cell r="V70">
            <v>107.60424200961079</v>
          </cell>
          <cell r="W70">
            <v>171.89889283693012</v>
          </cell>
          <cell r="X70">
            <v>0.06</v>
          </cell>
          <cell r="Y70">
            <v>220.31316815536698</v>
          </cell>
          <cell r="Z70">
            <v>290.92540020840795</v>
          </cell>
          <cell r="AA70">
            <v>359.82671481030332</v>
          </cell>
        </row>
        <row r="71">
          <cell r="B71" t="str">
            <v>3A</v>
          </cell>
          <cell r="C71">
            <v>1719.5</v>
          </cell>
          <cell r="D71" t="str">
            <v>Members</v>
          </cell>
          <cell r="E71">
            <v>183.5548959485366</v>
          </cell>
          <cell r="F71">
            <v>218.29887916771406</v>
          </cell>
          <cell r="G71">
            <v>250.20311859246715</v>
          </cell>
          <cell r="H71">
            <v>5.3193177123286404</v>
          </cell>
          <cell r="I71">
            <v>32.211423924656764</v>
          </cell>
          <cell r="J71">
            <v>63.536294897258756</v>
          </cell>
          <cell r="K71">
            <v>2.6086956521739129E-2</v>
          </cell>
          <cell r="L71">
            <v>0.15</v>
          </cell>
          <cell r="M71">
            <v>0.28695652173913044</v>
          </cell>
          <cell r="N71">
            <v>0.8</v>
          </cell>
          <cell r="O71">
            <v>193.75504214238495</v>
          </cell>
          <cell r="P71">
            <v>250.7345457321307</v>
          </cell>
          <cell r="Q71">
            <v>306.07051893652113</v>
          </cell>
          <cell r="R71">
            <v>15.81875935997928</v>
          </cell>
          <cell r="S71">
            <v>26.213944082251377</v>
          </cell>
          <cell r="T71">
            <v>42.032703442230655</v>
          </cell>
          <cell r="U71">
            <v>48.360207186222368</v>
          </cell>
          <cell r="V71">
            <v>80.449690459323193</v>
          </cell>
          <cell r="W71">
            <v>128.80989764554556</v>
          </cell>
          <cell r="X71">
            <v>0.04</v>
          </cell>
          <cell r="Y71">
            <v>193.75504214238495</v>
          </cell>
          <cell r="Z71">
            <v>250.53329719177484</v>
          </cell>
          <cell r="AA71">
            <v>306.07051893652113</v>
          </cell>
        </row>
        <row r="74">
          <cell r="B74" t="str">
            <v>Work</v>
          </cell>
          <cell r="C74" t="str">
            <v>Hay
Mid-</v>
          </cell>
          <cell r="D74" t="str">
            <v>Market
data</v>
          </cell>
          <cell r="E74" t="str">
            <v>Salaire de base</v>
          </cell>
          <cell r="F74">
            <v>0</v>
          </cell>
          <cell r="G74">
            <v>0</v>
          </cell>
          <cell r="H74" t="str">
            <v>Bonus (kF)</v>
          </cell>
          <cell r="I74">
            <v>0</v>
          </cell>
          <cell r="J74">
            <v>0</v>
          </cell>
          <cell r="K74" t="str">
            <v>Bonus (%)</v>
          </cell>
          <cell r="L74">
            <v>0</v>
          </cell>
          <cell r="M74">
            <v>0</v>
          </cell>
          <cell r="N74">
            <v>0</v>
          </cell>
          <cell r="O74" t="str">
            <v>Rém. Espèces</v>
          </cell>
          <cell r="P74">
            <v>0</v>
          </cell>
          <cell r="Q74">
            <v>0</v>
          </cell>
          <cell r="R74" t="str">
            <v>LTI Values</v>
          </cell>
          <cell r="S74">
            <v>0</v>
          </cell>
          <cell r="T74">
            <v>0</v>
          </cell>
          <cell r="U74" t="str">
            <v>Stock-option
grant equivalent</v>
          </cell>
          <cell r="V74">
            <v>0</v>
          </cell>
          <cell r="W74">
            <v>0</v>
          </cell>
          <cell r="X74">
            <v>0</v>
          </cell>
          <cell r="Y74" t="str">
            <v>Rém. Totale Directe</v>
          </cell>
        </row>
        <row r="75">
          <cell r="B75" t="str">
            <v>level</v>
          </cell>
          <cell r="C75" t="str">
            <v>point</v>
          </cell>
          <cell r="D75" t="str">
            <v>used</v>
          </cell>
          <cell r="E75">
            <v>25</v>
          </cell>
          <cell r="F75">
            <v>50</v>
          </cell>
          <cell r="G75">
            <v>75</v>
          </cell>
          <cell r="H75">
            <v>25</v>
          </cell>
          <cell r="I75">
            <v>50</v>
          </cell>
          <cell r="J75">
            <v>75</v>
          </cell>
          <cell r="K75">
            <v>25</v>
          </cell>
          <cell r="L75">
            <v>50</v>
          </cell>
          <cell r="M75">
            <v>75</v>
          </cell>
          <cell r="N75" t="str">
            <v>%</v>
          </cell>
          <cell r="O75">
            <v>25</v>
          </cell>
          <cell r="P75">
            <v>50</v>
          </cell>
          <cell r="Q75">
            <v>75</v>
          </cell>
          <cell r="R75">
            <v>25</v>
          </cell>
          <cell r="S75">
            <v>50</v>
          </cell>
          <cell r="T75">
            <v>75</v>
          </cell>
          <cell r="U75">
            <v>25</v>
          </cell>
          <cell r="V75">
            <v>50</v>
          </cell>
          <cell r="W75">
            <v>75</v>
          </cell>
          <cell r="X75" t="str">
            <v>%</v>
          </cell>
          <cell r="Y75">
            <v>25</v>
          </cell>
          <cell r="Z75">
            <v>50</v>
          </cell>
          <cell r="AA75">
            <v>75</v>
          </cell>
        </row>
        <row r="76">
          <cell r="B76" t="str">
            <v>0A</v>
          </cell>
          <cell r="C76">
            <v>8200</v>
          </cell>
          <cell r="D76">
            <v>0</v>
          </cell>
          <cell r="E76">
            <v>470.38904778863849</v>
          </cell>
          <cell r="F76">
            <v>627.86712030918261</v>
          </cell>
          <cell r="G76">
            <v>754.66764623481561</v>
          </cell>
          <cell r="H76">
            <v>268.93982514872158</v>
          </cell>
          <cell r="I76">
            <v>471.41163267513554</v>
          </cell>
          <cell r="J76">
            <v>690.75609082875064</v>
          </cell>
          <cell r="K76">
            <v>0.43</v>
          </cell>
          <cell r="L76">
            <v>0.75</v>
          </cell>
          <cell r="M76">
            <v>1.1000000000000001</v>
          </cell>
          <cell r="N76">
            <v>1</v>
          </cell>
          <cell r="O76">
            <v>818.06790919763216</v>
          </cell>
          <cell r="P76">
            <v>1098.7674605410696</v>
          </cell>
          <cell r="Q76">
            <v>1381.5121816575013</v>
          </cell>
          <cell r="R76">
            <v>112.99562995792294</v>
          </cell>
          <cell r="S76">
            <v>188.15561911545538</v>
          </cell>
          <cell r="T76">
            <v>301.15124907337832</v>
          </cell>
          <cell r="U76">
            <v>347.67886140899367</v>
          </cell>
          <cell r="V76">
            <v>579.29433820057329</v>
          </cell>
          <cell r="W76">
            <v>926.9731996095669</v>
          </cell>
          <cell r="X76">
            <v>0.21</v>
          </cell>
          <cell r="Y76">
            <v>818.06790919763216</v>
          </cell>
          <cell r="Z76">
            <v>1117.1739884980163</v>
          </cell>
          <cell r="AA76">
            <v>1418.3252375713946</v>
          </cell>
        </row>
        <row r="77">
          <cell r="B77" t="str">
            <v>0B</v>
          </cell>
          <cell r="C77">
            <v>5999.5</v>
          </cell>
          <cell r="D77" t="str">
            <v>All</v>
          </cell>
          <cell r="E77">
            <v>407.50007726907052</v>
          </cell>
          <cell r="F77">
            <v>517.93924501075082</v>
          </cell>
          <cell r="G77">
            <v>601.2799132602596</v>
          </cell>
          <cell r="H77">
            <v>186.62174178570982</v>
          </cell>
          <cell r="I77">
            <v>341.03205964676289</v>
          </cell>
          <cell r="J77">
            <v>509.75856591877454</v>
          </cell>
          <cell r="K77">
            <v>0.36</v>
          </cell>
          <cell r="L77">
            <v>0.66</v>
          </cell>
          <cell r="M77">
            <v>0.98</v>
          </cell>
          <cell r="N77">
            <v>1</v>
          </cell>
          <cell r="O77">
            <v>649.34140292562051</v>
          </cell>
          <cell r="P77">
            <v>858.97130465751377</v>
          </cell>
          <cell r="Q77">
            <v>1069.6237912759041</v>
          </cell>
          <cell r="R77">
            <v>86.919715352248417</v>
          </cell>
          <cell r="S77">
            <v>145.20705388257971</v>
          </cell>
          <cell r="T77">
            <v>232.12676923482812</v>
          </cell>
          <cell r="U77">
            <v>267.91724026222454</v>
          </cell>
          <cell r="V77">
            <v>446.35830295595804</v>
          </cell>
          <cell r="W77">
            <v>713.764250774934</v>
          </cell>
          <cell r="X77">
            <v>0.19</v>
          </cell>
          <cell r="Y77">
            <v>649.34140292562051</v>
          </cell>
          <cell r="Z77">
            <v>870.21973840898113</v>
          </cell>
          <cell r="AA77">
            <v>1092.6319512220873</v>
          </cell>
        </row>
        <row r="78">
          <cell r="B78" t="str">
            <v>0C</v>
          </cell>
          <cell r="C78">
            <v>4911.5</v>
          </cell>
          <cell r="D78" t="str">
            <v>industries</v>
          </cell>
          <cell r="E78">
            <v>372.22089868492264</v>
          </cell>
          <cell r="F78">
            <v>458.6293215939225</v>
          </cell>
          <cell r="G78">
            <v>522.54087699998752</v>
          </cell>
          <cell r="H78">
            <v>150.3199783150649</v>
          </cell>
          <cell r="I78">
            <v>281.21084378668604</v>
          </cell>
          <cell r="J78">
            <v>424.37272789627167</v>
          </cell>
          <cell r="K78">
            <v>0.33</v>
          </cell>
          <cell r="L78">
            <v>0.61</v>
          </cell>
          <cell r="M78">
            <v>0.93</v>
          </cell>
          <cell r="N78">
            <v>1</v>
          </cell>
          <cell r="O78">
            <v>566.00073467611173</v>
          </cell>
          <cell r="P78">
            <v>739.8401653806086</v>
          </cell>
          <cell r="Q78">
            <v>915.21347341485091</v>
          </cell>
          <cell r="R78">
            <v>71.580942054792814</v>
          </cell>
          <cell r="S78">
            <v>119.13113927690517</v>
          </cell>
          <cell r="T78">
            <v>190.71208133169799</v>
          </cell>
          <cell r="U78">
            <v>220.36704304011215</v>
          </cell>
          <cell r="V78">
            <v>367.10797425243743</v>
          </cell>
          <cell r="W78">
            <v>587.47501729254952</v>
          </cell>
          <cell r="X78">
            <v>0.17</v>
          </cell>
          <cell r="Y78">
            <v>566.00073467611173</v>
          </cell>
          <cell r="Z78">
            <v>747.50955202933631</v>
          </cell>
          <cell r="AA78">
            <v>930.04095426905803</v>
          </cell>
        </row>
        <row r="79">
          <cell r="B79" t="str">
            <v>0D</v>
          </cell>
          <cell r="C79">
            <v>3951.5</v>
          </cell>
          <cell r="D79" t="str">
            <v>Vorstand</v>
          </cell>
          <cell r="E79">
            <v>337.96430498727176</v>
          </cell>
          <cell r="F79">
            <v>403.92103016633087</v>
          </cell>
          <cell r="G79">
            <v>450.44864250194621</v>
          </cell>
          <cell r="H79">
            <v>121.17630904989926</v>
          </cell>
          <cell r="I79">
            <v>231.10418434833107</v>
          </cell>
          <cell r="J79">
            <v>351.76920095498184</v>
          </cell>
          <cell r="K79">
            <v>0.3</v>
          </cell>
          <cell r="L79">
            <v>0.56999999999999995</v>
          </cell>
          <cell r="M79">
            <v>0.87</v>
          </cell>
          <cell r="N79">
            <v>1</v>
          </cell>
          <cell r="O79">
            <v>492.37462284832486</v>
          </cell>
          <cell r="P79">
            <v>635.02521451466191</v>
          </cell>
          <cell r="Q79">
            <v>779.20968351074464</v>
          </cell>
          <cell r="R79">
            <v>58.28733853033129</v>
          </cell>
          <cell r="S79">
            <v>97.145564217218819</v>
          </cell>
          <cell r="T79">
            <v>154.92161030430159</v>
          </cell>
          <cell r="U79">
            <v>178.95235513698202</v>
          </cell>
          <cell r="V79">
            <v>298.08349441388719</v>
          </cell>
          <cell r="W79">
            <v>477.54714199411774</v>
          </cell>
          <cell r="X79">
            <v>0.15</v>
          </cell>
          <cell r="Y79">
            <v>492.37462284832486</v>
          </cell>
          <cell r="Z79">
            <v>639.62684650389861</v>
          </cell>
          <cell r="AA79">
            <v>787.39036260272087</v>
          </cell>
        </row>
        <row r="80">
          <cell r="B80" t="str">
            <v>1A</v>
          </cell>
          <cell r="C80">
            <v>3439.5</v>
          </cell>
          <cell r="D80" t="str">
            <v>Members</v>
          </cell>
          <cell r="E80">
            <v>329.67594625540437</v>
          </cell>
          <cell r="F80">
            <v>387.44874069566015</v>
          </cell>
          <cell r="G80">
            <v>426.67063783858606</v>
          </cell>
          <cell r="H80">
            <v>80.778345549801841</v>
          </cell>
          <cell r="I80">
            <v>155.01749169795306</v>
          </cell>
          <cell r="J80">
            <v>236.18049603608728</v>
          </cell>
          <cell r="K80">
            <v>0.20563636363636362</v>
          </cell>
          <cell r="L80">
            <v>0.39</v>
          </cell>
          <cell r="M80">
            <v>0.59563636363636363</v>
          </cell>
          <cell r="N80">
            <v>0.98</v>
          </cell>
          <cell r="O80">
            <v>424.20572100683256</v>
          </cell>
          <cell r="P80">
            <v>542.46623239361315</v>
          </cell>
          <cell r="Q80">
            <v>661.68431877137994</v>
          </cell>
          <cell r="R80">
            <v>49.084074551857924</v>
          </cell>
          <cell r="S80">
            <v>82.318083363011738</v>
          </cell>
          <cell r="T80">
            <v>131.40215791486966</v>
          </cell>
          <cell r="U80">
            <v>151.85385564481047</v>
          </cell>
          <cell r="V80">
            <v>253.08975940801744</v>
          </cell>
          <cell r="W80">
            <v>404.43232260957939</v>
          </cell>
          <cell r="X80">
            <v>0.12</v>
          </cell>
          <cell r="Y80">
            <v>424.20572100683256</v>
          </cell>
          <cell r="Z80">
            <v>542.48128228667986</v>
          </cell>
          <cell r="AA80">
            <v>664.16888377982752</v>
          </cell>
        </row>
        <row r="81">
          <cell r="B81" t="str">
            <v>1B</v>
          </cell>
          <cell r="C81">
            <v>2999.5</v>
          </cell>
          <cell r="D81">
            <v>0</v>
          </cell>
          <cell r="E81">
            <v>296.34605366724878</v>
          </cell>
          <cell r="F81">
            <v>370.97645122498943</v>
          </cell>
          <cell r="G81">
            <v>438.67277224833509</v>
          </cell>
          <cell r="H81">
            <v>40.787257010168645</v>
          </cell>
          <cell r="I81">
            <v>78.739036260272087</v>
          </cell>
          <cell r="J81">
            <v>120.18063429199425</v>
          </cell>
          <cell r="K81">
            <v>0.11094339622641509</v>
          </cell>
          <cell r="L81">
            <v>0.21</v>
          </cell>
          <cell r="M81">
            <v>0.3209433962264151</v>
          </cell>
          <cell r="N81">
            <v>0.95</v>
          </cell>
          <cell r="O81">
            <v>323.06773318520885</v>
          </cell>
          <cell r="P81">
            <v>449.90725027256445</v>
          </cell>
          <cell r="Q81">
            <v>574.07935468349081</v>
          </cell>
          <cell r="R81">
            <v>44.320195500330591</v>
          </cell>
          <cell r="S81">
            <v>74.414155407962468</v>
          </cell>
          <cell r="T81">
            <v>118.73435090829307</v>
          </cell>
          <cell r="U81">
            <v>136.79072685287218</v>
          </cell>
          <cell r="V81">
            <v>228.16693239059083</v>
          </cell>
          <cell r="W81">
            <v>365.50482215087447</v>
          </cell>
          <cell r="X81">
            <v>0.11</v>
          </cell>
          <cell r="Y81">
            <v>323.06773318520885</v>
          </cell>
          <cell r="Z81">
            <v>449.93735005869769</v>
          </cell>
          <cell r="AA81">
            <v>575.20399865458512</v>
          </cell>
        </row>
        <row r="82">
          <cell r="B82" t="str">
            <v>1C</v>
          </cell>
          <cell r="C82">
            <v>2615.5</v>
          </cell>
          <cell r="D82" t="str">
            <v>All</v>
          </cell>
          <cell r="E82">
            <v>262.91587217146952</v>
          </cell>
          <cell r="F82">
            <v>325.45588048559563</v>
          </cell>
          <cell r="G82">
            <v>382.29480421807028</v>
          </cell>
          <cell r="H82">
            <v>33.462992543406209</v>
          </cell>
          <cell r="I82">
            <v>64.934140292562049</v>
          </cell>
          <cell r="J82">
            <v>100.7873465890687</v>
          </cell>
          <cell r="K82">
            <v>0.10384615384615385</v>
          </cell>
          <cell r="L82">
            <v>0.2</v>
          </cell>
          <cell r="M82">
            <v>0.3</v>
          </cell>
          <cell r="N82">
            <v>0.93</v>
          </cell>
          <cell r="O82">
            <v>284.53477129901762</v>
          </cell>
          <cell r="P82">
            <v>390.27206305503779</v>
          </cell>
          <cell r="Q82">
            <v>493.73461473104629</v>
          </cell>
          <cell r="R82">
            <v>35.072899957243266</v>
          </cell>
          <cell r="S82">
            <v>58.798685222437236</v>
          </cell>
          <cell r="T82">
            <v>93.871585179680508</v>
          </cell>
          <cell r="U82">
            <v>108.31336751501595</v>
          </cell>
          <cell r="V82">
            <v>180.52227919169326</v>
          </cell>
          <cell r="W82">
            <v>288.31986876616156</v>
          </cell>
          <cell r="X82">
            <v>0.1</v>
          </cell>
          <cell r="Y82">
            <v>284.53477129901762</v>
          </cell>
          <cell r="Z82">
            <v>390.11613419862084</v>
          </cell>
          <cell r="AA82">
            <v>493.73461473104629</v>
          </cell>
        </row>
        <row r="83">
          <cell r="B83" t="str">
            <v>2A</v>
          </cell>
          <cell r="C83">
            <v>2271.5</v>
          </cell>
          <cell r="D83" t="str">
            <v>Industries</v>
          </cell>
          <cell r="E83">
            <v>232.96800124816713</v>
          </cell>
          <cell r="F83">
            <v>284.67703586488966</v>
          </cell>
          <cell r="G83">
            <v>331.78954119095914</v>
          </cell>
          <cell r="H83">
            <v>27.048236845208152</v>
          </cell>
          <cell r="I83">
            <v>52.151829211349046</v>
          </cell>
          <cell r="J83">
            <v>80.614352950424291</v>
          </cell>
          <cell r="K83">
            <v>9.3600000000000003E-2</v>
          </cell>
          <cell r="L83">
            <v>0.18</v>
          </cell>
          <cell r="M83">
            <v>0.27360000000000001</v>
          </cell>
          <cell r="N83">
            <v>0.9</v>
          </cell>
          <cell r="O83">
            <v>250.01565960930557</v>
          </cell>
          <cell r="P83">
            <v>336.84887450600525</v>
          </cell>
          <cell r="Q83">
            <v>421.75911852364715</v>
          </cell>
          <cell r="R83">
            <v>27.112098653799016</v>
          </cell>
          <cell r="S83">
            <v>45.509594168876916</v>
          </cell>
          <cell r="T83">
            <v>73.105837441493762</v>
          </cell>
          <cell r="U83">
            <v>84.24116367430409</v>
          </cell>
          <cell r="V83">
            <v>140.40193945717346</v>
          </cell>
          <cell r="W83">
            <v>224.15895851265969</v>
          </cell>
          <cell r="X83">
            <v>0.08</v>
          </cell>
          <cell r="Y83">
            <v>250.01565960930557</v>
          </cell>
          <cell r="Z83">
            <v>336.94172010077472</v>
          </cell>
          <cell r="AA83">
            <v>421.75911852364715</v>
          </cell>
        </row>
        <row r="84">
          <cell r="B84" t="str">
            <v>2B</v>
          </cell>
          <cell r="C84">
            <v>1975.5</v>
          </cell>
          <cell r="D84" t="str">
            <v>Non Vorstand</v>
          </cell>
          <cell r="E84">
            <v>207.19890301183682</v>
          </cell>
          <cell r="F84">
            <v>249.58826258660758</v>
          </cell>
          <cell r="G84">
            <v>288.33152416763033</v>
          </cell>
          <cell r="H84">
            <v>9.3032994565002447</v>
          </cell>
          <cell r="I84">
            <v>41.41468790313013</v>
          </cell>
          <cell r="J84">
            <v>78.927992163211769</v>
          </cell>
          <cell r="K84">
            <v>3.4000000000000002E-2</v>
          </cell>
          <cell r="L84">
            <v>0.17</v>
          </cell>
          <cell r="M84">
            <v>0.31280000000000002</v>
          </cell>
          <cell r="N84">
            <v>0.85</v>
          </cell>
          <cell r="O84">
            <v>220.31316815536698</v>
          </cell>
          <cell r="P84">
            <v>290.88008435916254</v>
          </cell>
          <cell r="Q84">
            <v>359.82671481030332</v>
          </cell>
          <cell r="R84">
            <v>20.985059645027832</v>
          </cell>
          <cell r="S84">
            <v>34.826269198131293</v>
          </cell>
          <cell r="T84">
            <v>55.811328843159124</v>
          </cell>
          <cell r="U84">
            <v>64.294650827319316</v>
          </cell>
          <cell r="V84">
            <v>107.60424200961079</v>
          </cell>
          <cell r="W84">
            <v>171.89889283693012</v>
          </cell>
          <cell r="X84">
            <v>0.06</v>
          </cell>
          <cell r="Y84">
            <v>220.31316815536698</v>
          </cell>
          <cell r="Z84">
            <v>290.92540020840795</v>
          </cell>
          <cell r="AA84">
            <v>359.82671481030332</v>
          </cell>
        </row>
        <row r="85">
          <cell r="B85" t="str">
            <v>3A</v>
          </cell>
          <cell r="C85">
            <v>1719.5</v>
          </cell>
          <cell r="D85" t="str">
            <v>Members</v>
          </cell>
          <cell r="E85">
            <v>183.5548959485366</v>
          </cell>
          <cell r="F85">
            <v>218.29887916771406</v>
          </cell>
          <cell r="G85">
            <v>250.20311859246715</v>
          </cell>
          <cell r="H85">
            <v>5.3193177123286404</v>
          </cell>
          <cell r="I85">
            <v>32.211423924656764</v>
          </cell>
          <cell r="J85">
            <v>63.536294897258756</v>
          </cell>
          <cell r="K85">
            <v>2.6086956521739129E-2</v>
          </cell>
          <cell r="L85">
            <v>0.15</v>
          </cell>
          <cell r="M85">
            <v>0.28695652173913044</v>
          </cell>
          <cell r="N85">
            <v>0.8</v>
          </cell>
          <cell r="O85">
            <v>193.75504214238495</v>
          </cell>
          <cell r="P85">
            <v>250.7345457321307</v>
          </cell>
          <cell r="Q85">
            <v>306.07051893652113</v>
          </cell>
          <cell r="R85">
            <v>15.81875935997928</v>
          </cell>
          <cell r="S85">
            <v>26.213944082251377</v>
          </cell>
          <cell r="T85">
            <v>42.032703442230655</v>
          </cell>
          <cell r="U85">
            <v>48.360207186222368</v>
          </cell>
          <cell r="V85">
            <v>80.449690459323193</v>
          </cell>
          <cell r="W85">
            <v>128.80989764554556</v>
          </cell>
          <cell r="X85">
            <v>0.04</v>
          </cell>
          <cell r="Y85">
            <v>193.75504214238495</v>
          </cell>
          <cell r="Z85">
            <v>250.53329719177484</v>
          </cell>
          <cell r="AA85">
            <v>306.07051893652113</v>
          </cell>
        </row>
        <row r="88">
          <cell r="B88" t="str">
            <v>Work</v>
          </cell>
          <cell r="C88" t="str">
            <v>Hay
Mid-</v>
          </cell>
          <cell r="D88" t="str">
            <v>Market
data</v>
          </cell>
          <cell r="E88" t="str">
            <v>Salaire de base</v>
          </cell>
          <cell r="F88">
            <v>0</v>
          </cell>
          <cell r="G88">
            <v>0</v>
          </cell>
          <cell r="H88" t="str">
            <v>Bonus (kF)</v>
          </cell>
          <cell r="I88">
            <v>0</v>
          </cell>
          <cell r="J88">
            <v>0</v>
          </cell>
          <cell r="K88" t="str">
            <v>Bonus (%)</v>
          </cell>
          <cell r="L88">
            <v>0</v>
          </cell>
          <cell r="M88">
            <v>0</v>
          </cell>
          <cell r="N88">
            <v>0</v>
          </cell>
          <cell r="O88" t="str">
            <v>Rém. Espèces</v>
          </cell>
          <cell r="P88">
            <v>0</v>
          </cell>
          <cell r="Q88">
            <v>0</v>
          </cell>
          <cell r="R88" t="str">
            <v>LTI Values</v>
          </cell>
          <cell r="S88">
            <v>0</v>
          </cell>
          <cell r="T88">
            <v>0</v>
          </cell>
          <cell r="U88" t="str">
            <v>Stock-option
grant equivalent</v>
          </cell>
          <cell r="V88">
            <v>0</v>
          </cell>
          <cell r="W88">
            <v>0</v>
          </cell>
          <cell r="X88">
            <v>0</v>
          </cell>
          <cell r="Y88" t="str">
            <v>Rém. Totale Directe</v>
          </cell>
        </row>
        <row r="89">
          <cell r="B89" t="str">
            <v>level</v>
          </cell>
          <cell r="C89" t="str">
            <v>point</v>
          </cell>
          <cell r="D89" t="str">
            <v>used</v>
          </cell>
          <cell r="E89">
            <v>25</v>
          </cell>
          <cell r="F89">
            <v>50</v>
          </cell>
          <cell r="G89">
            <v>75</v>
          </cell>
          <cell r="H89">
            <v>25</v>
          </cell>
          <cell r="I89">
            <v>50</v>
          </cell>
          <cell r="J89">
            <v>75</v>
          </cell>
          <cell r="K89">
            <v>25</v>
          </cell>
          <cell r="L89">
            <v>50</v>
          </cell>
          <cell r="M89">
            <v>75</v>
          </cell>
          <cell r="N89" t="str">
            <v>%</v>
          </cell>
          <cell r="O89">
            <v>25</v>
          </cell>
          <cell r="P89">
            <v>50</v>
          </cell>
          <cell r="Q89">
            <v>75</v>
          </cell>
          <cell r="R89">
            <v>25</v>
          </cell>
          <cell r="S89">
            <v>50</v>
          </cell>
          <cell r="T89">
            <v>75</v>
          </cell>
          <cell r="U89">
            <v>25</v>
          </cell>
          <cell r="V89">
            <v>50</v>
          </cell>
          <cell r="W89">
            <v>75</v>
          </cell>
          <cell r="X89" t="str">
            <v>%</v>
          </cell>
          <cell r="Y89">
            <v>25</v>
          </cell>
          <cell r="Z89">
            <v>50</v>
          </cell>
          <cell r="AA89">
            <v>75</v>
          </cell>
        </row>
        <row r="90">
          <cell r="B90" t="str">
            <v>0A</v>
          </cell>
          <cell r="C90">
            <v>8200</v>
          </cell>
          <cell r="D90">
            <v>0</v>
          </cell>
          <cell r="E90">
            <v>913.3147100387024</v>
          </cell>
          <cell r="F90">
            <v>1006.5100886140802</v>
          </cell>
          <cell r="G90">
            <v>1099.705467189458</v>
          </cell>
          <cell r="H90">
            <v>1062.4273157593068</v>
          </cell>
          <cell r="I90">
            <v>1304.7353000552891</v>
          </cell>
          <cell r="J90">
            <v>1547.0432843512715</v>
          </cell>
          <cell r="K90">
            <v>1.04</v>
          </cell>
          <cell r="L90">
            <v>1.28</v>
          </cell>
          <cell r="M90">
            <v>1.52</v>
          </cell>
          <cell r="N90">
            <v>1</v>
          </cell>
          <cell r="O90">
            <v>2022.3397150856981</v>
          </cell>
          <cell r="P90">
            <v>2311.2453886693693</v>
          </cell>
          <cell r="Q90">
            <v>2600.1510622530404</v>
          </cell>
          <cell r="R90">
            <v>2423.0798429598226</v>
          </cell>
          <cell r="S90">
            <v>5125.745821645779</v>
          </cell>
          <cell r="T90">
            <v>7828.4118003317353</v>
          </cell>
          <cell r="U90">
            <v>7455.6302860302239</v>
          </cell>
          <cell r="V90">
            <v>15771.453916311184</v>
          </cell>
          <cell r="W90">
            <v>24087.277546592144</v>
          </cell>
          <cell r="X90">
            <v>1</v>
          </cell>
          <cell r="Y90">
            <v>4445.4195580455207</v>
          </cell>
          <cell r="Z90">
            <v>7436.9912103151482</v>
          </cell>
          <cell r="AA90">
            <v>10428.562862584775</v>
          </cell>
        </row>
        <row r="91">
          <cell r="B91" t="str">
            <v>0B</v>
          </cell>
          <cell r="C91">
            <v>5999.5</v>
          </cell>
          <cell r="D91" t="str">
            <v>Pharma</v>
          </cell>
          <cell r="E91">
            <v>605.76996073995565</v>
          </cell>
          <cell r="F91">
            <v>698.96533931533349</v>
          </cell>
          <cell r="G91">
            <v>792.16071789071123</v>
          </cell>
          <cell r="H91">
            <v>652.36765002764457</v>
          </cell>
          <cell r="I91">
            <v>792.16071789071123</v>
          </cell>
          <cell r="J91">
            <v>931.95378575377799</v>
          </cell>
          <cell r="K91">
            <v>0.93</v>
          </cell>
          <cell r="L91">
            <v>1.1299999999999999</v>
          </cell>
          <cell r="M91">
            <v>1.33</v>
          </cell>
          <cell r="N91">
            <v>1</v>
          </cell>
          <cell r="O91">
            <v>1304.7353000552891</v>
          </cell>
          <cell r="P91">
            <v>1491.1260572060448</v>
          </cell>
          <cell r="Q91">
            <v>1677.5168143568003</v>
          </cell>
          <cell r="R91">
            <v>1397.930678630667</v>
          </cell>
          <cell r="S91">
            <v>2561.9409570371358</v>
          </cell>
          <cell r="T91">
            <v>3726.8831892293583</v>
          </cell>
          <cell r="U91">
            <v>4300.0347674679315</v>
          </cell>
          <cell r="V91">
            <v>7883.3970736912079</v>
          </cell>
          <cell r="W91">
            <v>11467.691333700239</v>
          </cell>
          <cell r="X91">
            <v>1</v>
          </cell>
          <cell r="Y91">
            <v>2701.7340249002023</v>
          </cell>
          <cell r="Z91">
            <v>4053.0670142431804</v>
          </cell>
          <cell r="AA91">
            <v>5404.4000035861582</v>
          </cell>
        </row>
        <row r="92">
          <cell r="B92" t="str">
            <v>0C</v>
          </cell>
          <cell r="C92">
            <v>4911.5</v>
          </cell>
          <cell r="D92" t="str">
            <v>Executives</v>
          </cell>
          <cell r="E92">
            <v>470.63666180565787</v>
          </cell>
          <cell r="F92">
            <v>547.0568722374677</v>
          </cell>
          <cell r="G92">
            <v>623.47708266927748</v>
          </cell>
          <cell r="H92">
            <v>415.65138844618497</v>
          </cell>
          <cell r="I92">
            <v>555.44445630925168</v>
          </cell>
          <cell r="J92">
            <v>695.23752417231833</v>
          </cell>
          <cell r="K92">
            <v>0.74</v>
          </cell>
          <cell r="L92">
            <v>1</v>
          </cell>
          <cell r="M92">
            <v>1.26</v>
          </cell>
          <cell r="N92">
            <v>1</v>
          </cell>
          <cell r="O92">
            <v>924.49815546774778</v>
          </cell>
          <cell r="P92">
            <v>1102.5013285467194</v>
          </cell>
          <cell r="Q92">
            <v>1280.5045016256909</v>
          </cell>
          <cell r="R92">
            <v>721.33223017342414</v>
          </cell>
          <cell r="S92">
            <v>1176.1256776212679</v>
          </cell>
          <cell r="T92">
            <v>1630.9191250691115</v>
          </cell>
          <cell r="U92">
            <v>2220.8458714512531</v>
          </cell>
          <cell r="V92">
            <v>3619.7085038676737</v>
          </cell>
          <cell r="W92">
            <v>5019.5030900698484</v>
          </cell>
          <cell r="X92">
            <v>1</v>
          </cell>
          <cell r="Y92">
            <v>1645.8303856411719</v>
          </cell>
          <cell r="Z92">
            <v>2278.627006167987</v>
          </cell>
          <cell r="AA92">
            <v>2911.4236266948024</v>
          </cell>
        </row>
        <row r="93">
          <cell r="B93" t="str">
            <v>0D</v>
          </cell>
          <cell r="C93">
            <v>3951.5</v>
          </cell>
          <cell r="D93" t="str">
            <v>(proxy</v>
          </cell>
          <cell r="E93">
            <v>359.73416130095831</v>
          </cell>
          <cell r="F93">
            <v>424.97092630372276</v>
          </cell>
          <cell r="G93">
            <v>491.13964509224098</v>
          </cell>
          <cell r="H93">
            <v>274.92636679736449</v>
          </cell>
          <cell r="I93">
            <v>389.55668244507922</v>
          </cell>
          <cell r="J93">
            <v>503.25504430704012</v>
          </cell>
          <cell r="K93">
            <v>0.64</v>
          </cell>
          <cell r="L93">
            <v>0.9</v>
          </cell>
          <cell r="M93">
            <v>1.1599999999999999</v>
          </cell>
          <cell r="N93">
            <v>1</v>
          </cell>
          <cell r="O93">
            <v>667.278910599705</v>
          </cell>
          <cell r="P93">
            <v>814.52760874880198</v>
          </cell>
          <cell r="Q93">
            <v>961.77630689789885</v>
          </cell>
          <cell r="R93">
            <v>397.94426651686319</v>
          </cell>
          <cell r="S93">
            <v>493.00355266374856</v>
          </cell>
          <cell r="T93">
            <v>587.13088502488017</v>
          </cell>
          <cell r="U93">
            <v>1223.6553206947106</v>
          </cell>
          <cell r="V93">
            <v>1515.3568556356429</v>
          </cell>
          <cell r="W93">
            <v>1807.0583905765754</v>
          </cell>
          <cell r="X93">
            <v>1</v>
          </cell>
          <cell r="Y93">
            <v>1065.2231771165682</v>
          </cell>
          <cell r="Z93">
            <v>1307.5311614125505</v>
          </cell>
          <cell r="AA93">
            <v>1548.907191922779</v>
          </cell>
        </row>
        <row r="94">
          <cell r="B94" t="str">
            <v>1A</v>
          </cell>
          <cell r="C94">
            <v>3439.5</v>
          </cell>
          <cell r="D94" t="str">
            <v>statements)</v>
          </cell>
          <cell r="E94">
            <v>303.81693415573164</v>
          </cell>
          <cell r="F94">
            <v>365.32588401548094</v>
          </cell>
          <cell r="G94">
            <v>427.76678766098411</v>
          </cell>
          <cell r="H94">
            <v>227.39672372392184</v>
          </cell>
          <cell r="I94">
            <v>317.79624094203831</v>
          </cell>
          <cell r="J94">
            <v>408.19575816015475</v>
          </cell>
          <cell r="K94">
            <v>0.61</v>
          </cell>
          <cell r="L94">
            <v>0.86</v>
          </cell>
          <cell r="M94">
            <v>1.1000000000000001</v>
          </cell>
          <cell r="N94">
            <v>1</v>
          </cell>
          <cell r="O94">
            <v>561.96813280952813</v>
          </cell>
          <cell r="P94">
            <v>683.1221249575193</v>
          </cell>
          <cell r="Q94">
            <v>804.27611710551037</v>
          </cell>
          <cell r="R94">
            <v>334.57140908560632</v>
          </cell>
          <cell r="S94">
            <v>343.89094694314406</v>
          </cell>
          <cell r="T94">
            <v>353.21048480068185</v>
          </cell>
          <cell r="U94">
            <v>1027.945025686417</v>
          </cell>
          <cell r="V94">
            <v>1056.8355930447842</v>
          </cell>
          <cell r="W94">
            <v>1085.7261604031514</v>
          </cell>
          <cell r="X94">
            <v>1</v>
          </cell>
          <cell r="Y94">
            <v>896.53954189513445</v>
          </cell>
          <cell r="Z94">
            <v>1027.0130719006634</v>
          </cell>
          <cell r="AA94">
            <v>1157.4866019061922</v>
          </cell>
        </row>
        <row r="95">
          <cell r="B95" t="str">
            <v>1B</v>
          </cell>
          <cell r="C95">
            <v>2999.5</v>
          </cell>
          <cell r="D95">
            <v>0</v>
          </cell>
          <cell r="E95">
            <v>256.28729108228896</v>
          </cell>
          <cell r="F95">
            <v>314.0684257990232</v>
          </cell>
          <cell r="G95">
            <v>372.78151430151121</v>
          </cell>
          <cell r="H95">
            <v>186.3907571507556</v>
          </cell>
          <cell r="I95">
            <v>256.28729108228896</v>
          </cell>
          <cell r="J95">
            <v>326.18382501382229</v>
          </cell>
          <cell r="K95">
            <v>0.59</v>
          </cell>
          <cell r="L95">
            <v>0.81</v>
          </cell>
          <cell r="M95">
            <v>1.04</v>
          </cell>
          <cell r="N95">
            <v>1</v>
          </cell>
          <cell r="O95">
            <v>471.56861559141163</v>
          </cell>
          <cell r="P95">
            <v>570.35571688131211</v>
          </cell>
          <cell r="Q95">
            <v>670.0747719569664</v>
          </cell>
          <cell r="R95">
            <v>279.58613572613336</v>
          </cell>
          <cell r="S95">
            <v>215.28132450912273</v>
          </cell>
          <cell r="T95">
            <v>150.97651329211203</v>
          </cell>
          <cell r="U95">
            <v>860.19334425073703</v>
          </cell>
          <cell r="V95">
            <v>662.61914167093619</v>
          </cell>
          <cell r="W95">
            <v>465.04493909113523</v>
          </cell>
          <cell r="X95">
            <v>1</v>
          </cell>
          <cell r="Y95">
            <v>751.15475131754499</v>
          </cell>
          <cell r="Z95">
            <v>785.63704139043489</v>
          </cell>
          <cell r="AA95">
            <v>821.05128524907843</v>
          </cell>
        </row>
        <row r="96">
          <cell r="B96" t="str">
            <v>1C</v>
          </cell>
          <cell r="C96">
            <v>2615.5</v>
          </cell>
          <cell r="D96">
            <v>0</v>
          </cell>
          <cell r="E96">
            <v>210.62155558035383</v>
          </cell>
          <cell r="F96">
            <v>232.05649265269071</v>
          </cell>
          <cell r="G96">
            <v>260.01510622530407</v>
          </cell>
          <cell r="H96">
            <v>64.30481121701068</v>
          </cell>
          <cell r="I96">
            <v>92.263424789624025</v>
          </cell>
          <cell r="J96">
            <v>126.74571486251381</v>
          </cell>
          <cell r="K96">
            <v>0.28999999999999998</v>
          </cell>
          <cell r="L96">
            <v>0.4</v>
          </cell>
          <cell r="M96">
            <v>0.52</v>
          </cell>
          <cell r="N96">
            <v>0.92</v>
          </cell>
          <cell r="O96">
            <v>286.10981222640982</v>
          </cell>
          <cell r="P96">
            <v>317.79624094203831</v>
          </cell>
          <cell r="Q96">
            <v>372.78151430151121</v>
          </cell>
          <cell r="R96">
            <v>55.917227145226676</v>
          </cell>
          <cell r="S96">
            <v>94.127332361131579</v>
          </cell>
          <cell r="T96">
            <v>131.40548379128271</v>
          </cell>
          <cell r="U96">
            <v>173.3434041502027</v>
          </cell>
          <cell r="V96">
            <v>288.90567358367116</v>
          </cell>
          <cell r="W96">
            <v>404.46794301713965</v>
          </cell>
          <cell r="X96">
            <v>0.84</v>
          </cell>
          <cell r="Y96">
            <v>307.54474929874675</v>
          </cell>
          <cell r="Z96">
            <v>382.10105215904895</v>
          </cell>
          <cell r="AA96">
            <v>476.22838452018055</v>
          </cell>
        </row>
        <row r="97">
          <cell r="B97" t="str">
            <v>2A</v>
          </cell>
          <cell r="C97">
            <v>2271.5</v>
          </cell>
          <cell r="D97" t="str">
            <v>Pharma</v>
          </cell>
          <cell r="E97">
            <v>191.05052607952447</v>
          </cell>
          <cell r="F97">
            <v>215.28132450912273</v>
          </cell>
          <cell r="G97">
            <v>236.71626158145961</v>
          </cell>
          <cell r="H97">
            <v>57.781134716734236</v>
          </cell>
          <cell r="I97">
            <v>79.216071789071123</v>
          </cell>
          <cell r="J97">
            <v>106.24273157593069</v>
          </cell>
          <cell r="K97">
            <v>0.28000000000000003</v>
          </cell>
          <cell r="L97">
            <v>0.37</v>
          </cell>
          <cell r="M97">
            <v>0.48</v>
          </cell>
          <cell r="N97">
            <v>0.89</v>
          </cell>
          <cell r="O97">
            <v>260.94706001105783</v>
          </cell>
          <cell r="P97">
            <v>286.10981222640982</v>
          </cell>
          <cell r="Q97">
            <v>332.70750151409874</v>
          </cell>
          <cell r="R97">
            <v>34.482290072889782</v>
          </cell>
          <cell r="S97">
            <v>57.781134716734236</v>
          </cell>
          <cell r="T97">
            <v>81.07997936057869</v>
          </cell>
          <cell r="U97">
            <v>107.17468536168447</v>
          </cell>
          <cell r="V97">
            <v>178.93512686472536</v>
          </cell>
          <cell r="W97">
            <v>249.76361458201251</v>
          </cell>
          <cell r="X97">
            <v>0.82</v>
          </cell>
          <cell r="Y97">
            <v>272.13050544010315</v>
          </cell>
          <cell r="Z97">
            <v>323.38796365656094</v>
          </cell>
          <cell r="AA97">
            <v>395.14840515960185</v>
          </cell>
        </row>
        <row r="98">
          <cell r="B98" t="str">
            <v>2B</v>
          </cell>
          <cell r="C98">
            <v>1975.5</v>
          </cell>
          <cell r="D98" t="str">
            <v>&amp; Chemicals</v>
          </cell>
          <cell r="E98">
            <v>172.41145036444894</v>
          </cell>
          <cell r="F98">
            <v>191.05052607952447</v>
          </cell>
          <cell r="G98">
            <v>210.62155558035383</v>
          </cell>
          <cell r="H98">
            <v>42.869874144673787</v>
          </cell>
          <cell r="I98">
            <v>60.576996073995566</v>
          </cell>
          <cell r="J98">
            <v>82.943886932086244</v>
          </cell>
          <cell r="K98">
            <v>0.23</v>
          </cell>
          <cell r="L98">
            <v>0.32</v>
          </cell>
          <cell r="M98">
            <v>0.42</v>
          </cell>
          <cell r="N98">
            <v>0.86</v>
          </cell>
          <cell r="O98">
            <v>224.60086236666049</v>
          </cell>
          <cell r="P98">
            <v>243.23993808173606</v>
          </cell>
          <cell r="Q98">
            <v>284.24590465490229</v>
          </cell>
          <cell r="R98">
            <v>28.890567358367118</v>
          </cell>
          <cell r="S98">
            <v>48.461596859196455</v>
          </cell>
          <cell r="T98">
            <v>68.032626360025787</v>
          </cell>
          <cell r="U98">
            <v>89.467563432362681</v>
          </cell>
          <cell r="V98">
            <v>149.11260572060448</v>
          </cell>
          <cell r="W98">
            <v>208.75764800884627</v>
          </cell>
          <cell r="X98">
            <v>0.8</v>
          </cell>
          <cell r="Y98">
            <v>231.12453886693694</v>
          </cell>
          <cell r="Z98">
            <v>272.13050544010315</v>
          </cell>
          <cell r="AA98">
            <v>333.6394552998525</v>
          </cell>
        </row>
        <row r="99">
          <cell r="B99" t="str">
            <v>3A</v>
          </cell>
          <cell r="C99">
            <v>1719.5</v>
          </cell>
          <cell r="D99">
            <v>0</v>
          </cell>
          <cell r="E99">
            <v>155.63628222088093</v>
          </cell>
          <cell r="F99">
            <v>171.47949657869515</v>
          </cell>
          <cell r="G99">
            <v>186.3907571507556</v>
          </cell>
          <cell r="H99">
            <v>36.346197644397343</v>
          </cell>
          <cell r="I99">
            <v>52.189412002211569</v>
          </cell>
          <cell r="J99">
            <v>68.032626360025787</v>
          </cell>
          <cell r="K99">
            <v>0.22</v>
          </cell>
          <cell r="L99">
            <v>0.3</v>
          </cell>
          <cell r="M99">
            <v>0.38</v>
          </cell>
          <cell r="N99">
            <v>0.81</v>
          </cell>
          <cell r="O99">
            <v>199.43811015130848</v>
          </cell>
          <cell r="P99">
            <v>221.80500100939915</v>
          </cell>
          <cell r="Q99">
            <v>246.96775322475116</v>
          </cell>
          <cell r="R99">
            <v>25.162752215352004</v>
          </cell>
          <cell r="S99">
            <v>41.005966573166234</v>
          </cell>
          <cell r="T99">
            <v>57.781134716734236</v>
          </cell>
          <cell r="U99">
            <v>76.420210431809792</v>
          </cell>
          <cell r="V99">
            <v>127.67766864826758</v>
          </cell>
          <cell r="W99">
            <v>178.0031730789716</v>
          </cell>
          <cell r="X99">
            <v>0.67</v>
          </cell>
          <cell r="Y99">
            <v>200.37006393706227</v>
          </cell>
          <cell r="Z99">
            <v>236.71626158145961</v>
          </cell>
          <cell r="AA99">
            <v>279.58613572613336</v>
          </cell>
        </row>
        <row r="102">
          <cell r="B102" t="str">
            <v>Work</v>
          </cell>
          <cell r="C102" t="str">
            <v>Hay
Mid-</v>
          </cell>
          <cell r="D102" t="str">
            <v>Market
data</v>
          </cell>
          <cell r="E102" t="str">
            <v>Salaire de base</v>
          </cell>
          <cell r="F102">
            <v>0</v>
          </cell>
          <cell r="G102">
            <v>0</v>
          </cell>
          <cell r="H102" t="str">
            <v>Bonus (kF)</v>
          </cell>
          <cell r="I102">
            <v>0</v>
          </cell>
          <cell r="J102">
            <v>0</v>
          </cell>
          <cell r="K102" t="str">
            <v>Bonus (%)</v>
          </cell>
          <cell r="L102">
            <v>0</v>
          </cell>
          <cell r="M102">
            <v>0</v>
          </cell>
          <cell r="N102">
            <v>0</v>
          </cell>
          <cell r="O102" t="str">
            <v>Rém. Espèces</v>
          </cell>
          <cell r="P102">
            <v>0</v>
          </cell>
          <cell r="Q102">
            <v>0</v>
          </cell>
          <cell r="R102" t="str">
            <v>LTI Values</v>
          </cell>
          <cell r="S102">
            <v>0</v>
          </cell>
          <cell r="T102">
            <v>0</v>
          </cell>
          <cell r="U102" t="str">
            <v>Stock-option
grant equivalent</v>
          </cell>
          <cell r="V102">
            <v>0</v>
          </cell>
          <cell r="W102">
            <v>0</v>
          </cell>
          <cell r="X102">
            <v>0</v>
          </cell>
          <cell r="Y102" t="str">
            <v>Rém. Totale Directe</v>
          </cell>
        </row>
        <row r="103">
          <cell r="B103" t="str">
            <v>level</v>
          </cell>
          <cell r="C103" t="str">
            <v>point</v>
          </cell>
          <cell r="D103" t="str">
            <v>used</v>
          </cell>
          <cell r="E103">
            <v>25</v>
          </cell>
          <cell r="F103">
            <v>50</v>
          </cell>
          <cell r="G103">
            <v>75</v>
          </cell>
          <cell r="H103">
            <v>25</v>
          </cell>
          <cell r="I103">
            <v>50</v>
          </cell>
          <cell r="J103">
            <v>75</v>
          </cell>
          <cell r="K103">
            <v>25</v>
          </cell>
          <cell r="L103">
            <v>50</v>
          </cell>
          <cell r="M103">
            <v>75</v>
          </cell>
          <cell r="N103" t="str">
            <v>%</v>
          </cell>
          <cell r="O103">
            <v>25</v>
          </cell>
          <cell r="P103">
            <v>50</v>
          </cell>
          <cell r="Q103">
            <v>75</v>
          </cell>
          <cell r="R103">
            <v>25</v>
          </cell>
          <cell r="S103">
            <v>50</v>
          </cell>
          <cell r="T103">
            <v>75</v>
          </cell>
          <cell r="U103">
            <v>25</v>
          </cell>
          <cell r="V103">
            <v>50</v>
          </cell>
          <cell r="W103">
            <v>75</v>
          </cell>
          <cell r="X103" t="str">
            <v>%</v>
          </cell>
          <cell r="Y103">
            <v>25</v>
          </cell>
          <cell r="Z103">
            <v>50</v>
          </cell>
          <cell r="AA103">
            <v>75</v>
          </cell>
        </row>
        <row r="104">
          <cell r="B104" t="str">
            <v>0A</v>
          </cell>
          <cell r="C104">
            <v>8200</v>
          </cell>
          <cell r="D104">
            <v>0</v>
          </cell>
          <cell r="E104">
            <v>719.46832260191661</v>
          </cell>
          <cell r="F104">
            <v>759.54233538932908</v>
          </cell>
          <cell r="G104">
            <v>799.61634817674155</v>
          </cell>
          <cell r="H104">
            <v>643.9800659558606</v>
          </cell>
          <cell r="I104">
            <v>726.92395288794683</v>
          </cell>
          <cell r="J104">
            <v>899.33540325239574</v>
          </cell>
          <cell r="K104">
            <v>0.85</v>
          </cell>
          <cell r="L104">
            <v>0.96</v>
          </cell>
          <cell r="M104">
            <v>1.18</v>
          </cell>
          <cell r="N104">
            <v>1</v>
          </cell>
          <cell r="O104">
            <v>1383.9513718443602</v>
          </cell>
          <cell r="P104">
            <v>1486.4662882772759</v>
          </cell>
          <cell r="Q104">
            <v>1678.4487681425542</v>
          </cell>
          <cell r="R104">
            <v>1759.5287475031328</v>
          </cell>
          <cell r="S104">
            <v>2932.8585637671395</v>
          </cell>
          <cell r="T104">
            <v>4106.1883800311462</v>
          </cell>
          <cell r="U104">
            <v>5413.7195414436965</v>
          </cell>
          <cell r="V104">
            <v>9023.1765536680778</v>
          </cell>
          <cell r="W104">
            <v>12632.63356589246</v>
          </cell>
          <cell r="X104">
            <v>1</v>
          </cell>
          <cell r="Y104">
            <v>3143.4801193474932</v>
          </cell>
          <cell r="Z104">
            <v>4419.3248520444149</v>
          </cell>
          <cell r="AA104">
            <v>5774.3856565304086</v>
          </cell>
        </row>
        <row r="105">
          <cell r="B105" t="str">
            <v>0B</v>
          </cell>
          <cell r="C105">
            <v>5999.5</v>
          </cell>
          <cell r="D105">
            <v>0</v>
          </cell>
          <cell r="E105">
            <v>531.2136578796534</v>
          </cell>
          <cell r="F105">
            <v>573.15157823857351</v>
          </cell>
          <cell r="G105">
            <v>644.91201974161436</v>
          </cell>
          <cell r="H105">
            <v>373.71346808726497</v>
          </cell>
          <cell r="I105">
            <v>514.43848973608544</v>
          </cell>
          <cell r="J105">
            <v>634.66052809832286</v>
          </cell>
          <cell r="K105">
            <v>0.63</v>
          </cell>
          <cell r="L105">
            <v>0.89</v>
          </cell>
          <cell r="M105">
            <v>1.08</v>
          </cell>
          <cell r="N105">
            <v>1</v>
          </cell>
          <cell r="O105">
            <v>925.43010925350154</v>
          </cell>
          <cell r="P105">
            <v>1087.590067974659</v>
          </cell>
          <cell r="Q105">
            <v>1244.1583039812936</v>
          </cell>
          <cell r="R105">
            <v>844.35012989292284</v>
          </cell>
          <cell r="S105">
            <v>1406.318262702451</v>
          </cell>
          <cell r="T105">
            <v>1969.2183492977329</v>
          </cell>
          <cell r="U105">
            <v>2597.355200895779</v>
          </cell>
          <cell r="V105">
            <v>4327.9933810405446</v>
          </cell>
          <cell r="W105">
            <v>6059.5635149710643</v>
          </cell>
          <cell r="X105">
            <v>0.98</v>
          </cell>
          <cell r="Y105">
            <v>1731.5701339305194</v>
          </cell>
          <cell r="Z105">
            <v>2463.1538557472354</v>
          </cell>
          <cell r="AA105">
            <v>3178.8943632061369</v>
          </cell>
        </row>
        <row r="106">
          <cell r="B106" t="str">
            <v>0C</v>
          </cell>
          <cell r="C106">
            <v>4911.5</v>
          </cell>
          <cell r="D106">
            <v>0</v>
          </cell>
          <cell r="E106">
            <v>397.01231273110943</v>
          </cell>
          <cell r="F106">
            <v>454.79344744784368</v>
          </cell>
          <cell r="G106">
            <v>514.43848973608544</v>
          </cell>
          <cell r="H106">
            <v>167.75168143568004</v>
          </cell>
          <cell r="I106">
            <v>301.95302658422406</v>
          </cell>
          <cell r="J106">
            <v>350.41462344342051</v>
          </cell>
          <cell r="K106">
            <v>0.36</v>
          </cell>
          <cell r="L106">
            <v>0.66</v>
          </cell>
          <cell r="M106">
            <v>0.77</v>
          </cell>
          <cell r="N106">
            <v>1</v>
          </cell>
          <cell r="O106">
            <v>592.72260773940275</v>
          </cell>
          <cell r="P106">
            <v>756.74647403206768</v>
          </cell>
          <cell r="Q106">
            <v>835.0305920353851</v>
          </cell>
          <cell r="R106">
            <v>360.66611508671207</v>
          </cell>
          <cell r="S106">
            <v>601.11019181118684</v>
          </cell>
          <cell r="T106">
            <v>841.55426853566155</v>
          </cell>
          <cell r="U106">
            <v>1109.9569588327495</v>
          </cell>
          <cell r="V106">
            <v>1849.9282647212492</v>
          </cell>
          <cell r="W106">
            <v>2589.8995706097489</v>
          </cell>
          <cell r="X106">
            <v>0.94</v>
          </cell>
          <cell r="Y106">
            <v>878.83241996581262</v>
          </cell>
          <cell r="Z106">
            <v>1295.4157621977513</v>
          </cell>
          <cell r="AA106">
            <v>1616.9398182828047</v>
          </cell>
        </row>
        <row r="107">
          <cell r="B107" t="str">
            <v>0D</v>
          </cell>
          <cell r="C107">
            <v>3951.5</v>
          </cell>
          <cell r="D107" t="str">
            <v>Chemicals</v>
          </cell>
          <cell r="E107">
            <v>325.25187122806852</v>
          </cell>
          <cell r="F107">
            <v>376.50932944452632</v>
          </cell>
          <cell r="G107">
            <v>397.01231273110943</v>
          </cell>
          <cell r="H107">
            <v>133.26939136279026</v>
          </cell>
          <cell r="I107">
            <v>205.96178665158493</v>
          </cell>
          <cell r="J107">
            <v>325.25187122806852</v>
          </cell>
          <cell r="K107">
            <v>0.36</v>
          </cell>
          <cell r="L107">
            <v>0.55000000000000004</v>
          </cell>
          <cell r="M107">
            <v>0.87</v>
          </cell>
          <cell r="N107">
            <v>0.98</v>
          </cell>
          <cell r="O107">
            <v>484.61596859196453</v>
          </cell>
          <cell r="P107">
            <v>578.74330095309608</v>
          </cell>
          <cell r="Q107">
            <v>712.0126923158864</v>
          </cell>
          <cell r="R107">
            <v>146.31674436334313</v>
          </cell>
          <cell r="S107">
            <v>243.23993808173606</v>
          </cell>
          <cell r="T107">
            <v>340.16313180012895</v>
          </cell>
          <cell r="U107">
            <v>449.20172473332099</v>
          </cell>
          <cell r="V107">
            <v>748.3588899602837</v>
          </cell>
          <cell r="W107">
            <v>1047.5160551872464</v>
          </cell>
          <cell r="X107">
            <v>0.9</v>
          </cell>
          <cell r="Y107">
            <v>573.15157823857351</v>
          </cell>
          <cell r="Z107">
            <v>774.45359596138951</v>
          </cell>
          <cell r="AA107">
            <v>1007.442042399834</v>
          </cell>
        </row>
        <row r="108">
          <cell r="B108" t="str">
            <v>1A</v>
          </cell>
          <cell r="C108">
            <v>3439.5</v>
          </cell>
          <cell r="D108">
            <v>0</v>
          </cell>
          <cell r="E108">
            <v>285.17785844065605</v>
          </cell>
          <cell r="F108">
            <v>329.91164015683739</v>
          </cell>
          <cell r="G108">
            <v>366.25783780123476</v>
          </cell>
          <cell r="H108">
            <v>102.51491643291558</v>
          </cell>
          <cell r="I108">
            <v>162.15995872115738</v>
          </cell>
          <cell r="J108">
            <v>241.3760305102285</v>
          </cell>
          <cell r="K108">
            <v>0.31</v>
          </cell>
          <cell r="L108">
            <v>0.49</v>
          </cell>
          <cell r="M108">
            <v>0.73</v>
          </cell>
          <cell r="N108">
            <v>0.96</v>
          </cell>
          <cell r="O108">
            <v>409.12771194590852</v>
          </cell>
          <cell r="P108">
            <v>485.54792237771835</v>
          </cell>
          <cell r="Q108">
            <v>588.9947925963877</v>
          </cell>
          <cell r="R108">
            <v>102.51491643291558</v>
          </cell>
          <cell r="S108">
            <v>170.54754279294136</v>
          </cell>
          <cell r="T108">
            <v>238.58016915296716</v>
          </cell>
          <cell r="U108">
            <v>315.00037958477697</v>
          </cell>
          <cell r="V108">
            <v>525.62193516513082</v>
          </cell>
          <cell r="W108">
            <v>735.3115369597308</v>
          </cell>
          <cell r="X108">
            <v>0.88</v>
          </cell>
          <cell r="Y108">
            <v>462.24907773387389</v>
          </cell>
          <cell r="Z108">
            <v>615.0894985974935</v>
          </cell>
          <cell r="AA108">
            <v>789.36485653344994</v>
          </cell>
        </row>
        <row r="109">
          <cell r="B109" t="str">
            <v>1B</v>
          </cell>
          <cell r="C109">
            <v>2999.5</v>
          </cell>
          <cell r="D109">
            <v>0</v>
          </cell>
          <cell r="E109">
            <v>242.30798429598227</v>
          </cell>
          <cell r="F109">
            <v>271.19855165434939</v>
          </cell>
          <cell r="G109">
            <v>307.54474929874675</v>
          </cell>
          <cell r="H109">
            <v>77.352164217563569</v>
          </cell>
          <cell r="I109">
            <v>120.22203836223736</v>
          </cell>
          <cell r="J109">
            <v>168.6836352214338</v>
          </cell>
          <cell r="K109">
            <v>0.28999999999999998</v>
          </cell>
          <cell r="L109">
            <v>0.44</v>
          </cell>
          <cell r="M109">
            <v>0.6</v>
          </cell>
          <cell r="N109">
            <v>0.94</v>
          </cell>
          <cell r="O109">
            <v>334.57140908560632</v>
          </cell>
          <cell r="P109">
            <v>383.96495973055653</v>
          </cell>
          <cell r="Q109">
            <v>458.52126259085878</v>
          </cell>
          <cell r="R109">
            <v>78.284118003317346</v>
          </cell>
          <cell r="S109">
            <v>130.47353000552891</v>
          </cell>
          <cell r="T109">
            <v>182.66294200774047</v>
          </cell>
          <cell r="U109">
            <v>241.3760305102285</v>
          </cell>
          <cell r="V109">
            <v>401.6720816598783</v>
          </cell>
          <cell r="W109">
            <v>562.90008659528189</v>
          </cell>
          <cell r="X109">
            <v>0.86</v>
          </cell>
          <cell r="Y109">
            <v>369.0536991584961</v>
          </cell>
          <cell r="Z109">
            <v>478.09229209168808</v>
          </cell>
          <cell r="AA109">
            <v>606.70191452570941</v>
          </cell>
        </row>
        <row r="110">
          <cell r="B110" t="str">
            <v>1C</v>
          </cell>
          <cell r="C110">
            <v>2615.5</v>
          </cell>
          <cell r="D110">
            <v>0</v>
          </cell>
          <cell r="E110">
            <v>210.62155558035383</v>
          </cell>
          <cell r="F110">
            <v>232.05649265269071</v>
          </cell>
          <cell r="G110">
            <v>260.01510622530407</v>
          </cell>
          <cell r="H110">
            <v>64.30481121701068</v>
          </cell>
          <cell r="I110">
            <v>92.263424789624025</v>
          </cell>
          <cell r="J110">
            <v>126.74571486251381</v>
          </cell>
          <cell r="K110">
            <v>0.28999999999999998</v>
          </cell>
          <cell r="L110">
            <v>0.4</v>
          </cell>
          <cell r="M110">
            <v>0.52</v>
          </cell>
          <cell r="N110">
            <v>0.92</v>
          </cell>
          <cell r="O110">
            <v>286.10981222640982</v>
          </cell>
          <cell r="P110">
            <v>317.79624094203831</v>
          </cell>
          <cell r="Q110">
            <v>372.78151430151121</v>
          </cell>
          <cell r="R110">
            <v>55.917227145226676</v>
          </cell>
          <cell r="S110">
            <v>94.127332361131579</v>
          </cell>
          <cell r="T110">
            <v>131.40548379128271</v>
          </cell>
          <cell r="U110">
            <v>173.3434041502027</v>
          </cell>
          <cell r="V110">
            <v>288.90567358367116</v>
          </cell>
          <cell r="W110">
            <v>404.46794301713965</v>
          </cell>
          <cell r="X110">
            <v>0.84</v>
          </cell>
          <cell r="Y110">
            <v>307.54474929874675</v>
          </cell>
          <cell r="Z110">
            <v>382.10105215904895</v>
          </cell>
          <cell r="AA110">
            <v>476.22838452018055</v>
          </cell>
        </row>
        <row r="111">
          <cell r="B111" t="str">
            <v>2A</v>
          </cell>
          <cell r="C111">
            <v>2271.5</v>
          </cell>
          <cell r="D111">
            <v>0</v>
          </cell>
          <cell r="E111">
            <v>129.54157621977515</v>
          </cell>
          <cell r="F111">
            <v>149.11260572060448</v>
          </cell>
          <cell r="G111">
            <v>171.47949657869515</v>
          </cell>
          <cell r="H111">
            <v>39.142059001658673</v>
          </cell>
          <cell r="I111">
            <v>65.236765002764457</v>
          </cell>
          <cell r="J111">
            <v>95.059286146885356</v>
          </cell>
          <cell r="K111">
            <v>0.27</v>
          </cell>
          <cell r="L111">
            <v>0.44</v>
          </cell>
          <cell r="M111">
            <v>0.6</v>
          </cell>
          <cell r="N111">
            <v>0.9</v>
          </cell>
          <cell r="O111">
            <v>178.93512686472536</v>
          </cell>
          <cell r="P111">
            <v>207.82569422309248</v>
          </cell>
          <cell r="Q111">
            <v>255.35533729653517</v>
          </cell>
          <cell r="R111">
            <v>24.230798429598227</v>
          </cell>
          <cell r="S111">
            <v>41.005966573166234</v>
          </cell>
          <cell r="T111">
            <v>56.849180930980459</v>
          </cell>
          <cell r="U111">
            <v>75.488256646056016</v>
          </cell>
          <cell r="V111">
            <v>124.88180729100625</v>
          </cell>
          <cell r="W111">
            <v>175.20731172171025</v>
          </cell>
          <cell r="X111">
            <v>0.83</v>
          </cell>
          <cell r="Y111">
            <v>186.3907571507556</v>
          </cell>
          <cell r="Z111">
            <v>234.85235400995205</v>
          </cell>
          <cell r="AA111">
            <v>299.15716522696272</v>
          </cell>
        </row>
        <row r="112">
          <cell r="B112" t="str">
            <v>2B</v>
          </cell>
          <cell r="C112">
            <v>1975.5</v>
          </cell>
          <cell r="D112" t="str">
            <v>Crop Science</v>
          </cell>
          <cell r="E112">
            <v>125.81376107676003</v>
          </cell>
          <cell r="F112">
            <v>144.45283679183558</v>
          </cell>
          <cell r="G112">
            <v>165.88777386417249</v>
          </cell>
          <cell r="H112">
            <v>33.550336287136005</v>
          </cell>
          <cell r="I112">
            <v>55.917227145226676</v>
          </cell>
          <cell r="J112">
            <v>81.07997936057869</v>
          </cell>
          <cell r="K112">
            <v>0.24</v>
          </cell>
          <cell r="L112">
            <v>0.39</v>
          </cell>
          <cell r="M112">
            <v>0.53</v>
          </cell>
          <cell r="N112">
            <v>0.85</v>
          </cell>
          <cell r="O112">
            <v>168.6836352214338</v>
          </cell>
          <cell r="P112">
            <v>191.98247986527826</v>
          </cell>
          <cell r="Q112">
            <v>236.71626158145961</v>
          </cell>
          <cell r="R112">
            <v>21.434937072336893</v>
          </cell>
          <cell r="S112">
            <v>36.346197644397343</v>
          </cell>
          <cell r="T112">
            <v>50.325504430704008</v>
          </cell>
          <cell r="U112">
            <v>67.100672574272011</v>
          </cell>
          <cell r="V112">
            <v>110.90250050469957</v>
          </cell>
          <cell r="W112">
            <v>155.63628222088093</v>
          </cell>
          <cell r="X112">
            <v>0.8</v>
          </cell>
          <cell r="Y112">
            <v>173.3434041502027</v>
          </cell>
          <cell r="Z112">
            <v>213.41741693761514</v>
          </cell>
          <cell r="AA112">
            <v>273.06245922585697</v>
          </cell>
        </row>
        <row r="113">
          <cell r="B113" t="str">
            <v>3A</v>
          </cell>
          <cell r="C113">
            <v>1719.5</v>
          </cell>
          <cell r="D113">
            <v>0</v>
          </cell>
          <cell r="E113">
            <v>122.08594593374491</v>
          </cell>
          <cell r="F113">
            <v>139.79306786306668</v>
          </cell>
          <cell r="G113">
            <v>161.22800493540359</v>
          </cell>
          <cell r="H113">
            <v>27.958613572613338</v>
          </cell>
          <cell r="I113">
            <v>46.597689287688901</v>
          </cell>
          <cell r="J113">
            <v>68.032626360025787</v>
          </cell>
          <cell r="K113">
            <v>0.21</v>
          </cell>
          <cell r="L113">
            <v>0.33</v>
          </cell>
          <cell r="M113">
            <v>0.46</v>
          </cell>
          <cell r="N113">
            <v>0.8</v>
          </cell>
          <cell r="O113">
            <v>158.43214357814225</v>
          </cell>
          <cell r="P113">
            <v>186.3907571507556</v>
          </cell>
          <cell r="Q113">
            <v>218.07718586638404</v>
          </cell>
          <cell r="R113">
            <v>20.502983286583117</v>
          </cell>
          <cell r="S113">
            <v>33.550336287136005</v>
          </cell>
          <cell r="T113">
            <v>46.597689287688901</v>
          </cell>
          <cell r="U113">
            <v>61.508949859749343</v>
          </cell>
          <cell r="V113">
            <v>103.44687021866936</v>
          </cell>
          <cell r="W113">
            <v>144.45283679183558</v>
          </cell>
          <cell r="X113">
            <v>0.65</v>
          </cell>
          <cell r="Y113">
            <v>158.43214357814225</v>
          </cell>
          <cell r="Z113">
            <v>196.64224879404716</v>
          </cell>
          <cell r="AA113">
            <v>243.23993808173606</v>
          </cell>
        </row>
        <row r="116">
          <cell r="B116" t="str">
            <v>Work</v>
          </cell>
          <cell r="C116" t="str">
            <v>Hay
Mid-</v>
          </cell>
          <cell r="D116" t="str">
            <v>Market
data</v>
          </cell>
          <cell r="E116" t="str">
            <v>Salaire de base</v>
          </cell>
          <cell r="F116">
            <v>0</v>
          </cell>
          <cell r="G116">
            <v>0</v>
          </cell>
          <cell r="H116" t="str">
            <v>Bonus (kF)</v>
          </cell>
          <cell r="I116">
            <v>0</v>
          </cell>
          <cell r="J116">
            <v>0</v>
          </cell>
          <cell r="K116" t="str">
            <v>Bonus (%)</v>
          </cell>
          <cell r="L116">
            <v>0</v>
          </cell>
          <cell r="M116">
            <v>0</v>
          </cell>
          <cell r="N116">
            <v>0</v>
          </cell>
          <cell r="O116" t="str">
            <v>Rém. Espèces</v>
          </cell>
          <cell r="P116">
            <v>0</v>
          </cell>
          <cell r="Q116">
            <v>0</v>
          </cell>
          <cell r="R116" t="str">
            <v>LTI Values</v>
          </cell>
          <cell r="S116">
            <v>0</v>
          </cell>
          <cell r="T116">
            <v>0</v>
          </cell>
          <cell r="U116" t="str">
            <v>Stock-option
grant equivalent</v>
          </cell>
          <cell r="V116">
            <v>0</v>
          </cell>
          <cell r="W116">
            <v>0</v>
          </cell>
          <cell r="X116">
            <v>0</v>
          </cell>
          <cell r="Y116" t="str">
            <v>Rém. Totale Directe</v>
          </cell>
        </row>
        <row r="117">
          <cell r="B117" t="str">
            <v>level</v>
          </cell>
          <cell r="C117" t="str">
            <v>point</v>
          </cell>
          <cell r="D117" t="str">
            <v>used</v>
          </cell>
          <cell r="E117">
            <v>25</v>
          </cell>
          <cell r="F117">
            <v>50</v>
          </cell>
          <cell r="G117">
            <v>75</v>
          </cell>
          <cell r="H117">
            <v>25</v>
          </cell>
          <cell r="I117">
            <v>50</v>
          </cell>
          <cell r="J117">
            <v>75</v>
          </cell>
          <cell r="K117">
            <v>25</v>
          </cell>
          <cell r="L117">
            <v>50</v>
          </cell>
          <cell r="M117">
            <v>75</v>
          </cell>
          <cell r="N117" t="str">
            <v>%</v>
          </cell>
          <cell r="O117">
            <v>25</v>
          </cell>
          <cell r="P117">
            <v>50</v>
          </cell>
          <cell r="Q117">
            <v>75</v>
          </cell>
          <cell r="R117">
            <v>25</v>
          </cell>
          <cell r="S117">
            <v>50</v>
          </cell>
          <cell r="T117">
            <v>75</v>
          </cell>
          <cell r="U117">
            <v>25</v>
          </cell>
          <cell r="V117">
            <v>50</v>
          </cell>
          <cell r="W117">
            <v>75</v>
          </cell>
          <cell r="X117" t="str">
            <v>%</v>
          </cell>
          <cell r="Y117">
            <v>25</v>
          </cell>
          <cell r="Z117">
            <v>50</v>
          </cell>
          <cell r="AA117">
            <v>75</v>
          </cell>
        </row>
        <row r="118">
          <cell r="B118" t="str">
            <v>0A</v>
          </cell>
          <cell r="C118">
            <v>8200</v>
          </cell>
          <cell r="D118">
            <v>0</v>
          </cell>
          <cell r="E118">
            <v>717.60441503040909</v>
          </cell>
          <cell r="F118">
            <v>757.67842781782144</v>
          </cell>
          <cell r="G118">
            <v>797.75244060523391</v>
          </cell>
          <cell r="H118">
            <v>535.87342680842232</v>
          </cell>
          <cell r="I118">
            <v>604.83800695420189</v>
          </cell>
          <cell r="J118">
            <v>749.29084374603747</v>
          </cell>
          <cell r="K118">
            <v>0.71</v>
          </cell>
          <cell r="L118">
            <v>0.8</v>
          </cell>
          <cell r="M118">
            <v>0.99</v>
          </cell>
          <cell r="N118">
            <v>1</v>
          </cell>
          <cell r="O118">
            <v>1273.0488713396608</v>
          </cell>
          <cell r="P118">
            <v>1363.4483885577772</v>
          </cell>
          <cell r="Q118">
            <v>1527.4722548504421</v>
          </cell>
          <cell r="R118">
            <v>1223.7853037227237</v>
          </cell>
          <cell r="S118">
            <v>1396.3659772745855</v>
          </cell>
          <cell r="T118">
            <v>1487.0597956882004</v>
          </cell>
          <cell r="U118">
            <v>3765.4932422237612</v>
          </cell>
          <cell r="V118">
            <v>4296.510699306411</v>
          </cell>
          <cell r="W118">
            <v>4575.5686021175507</v>
          </cell>
          <cell r="X118">
            <v>1</v>
          </cell>
          <cell r="Y118">
            <v>2541.9039506434292</v>
          </cell>
          <cell r="Z118">
            <v>2759.3557464693722</v>
          </cell>
          <cell r="AA118">
            <v>2932.3925868742622</v>
          </cell>
        </row>
        <row r="119">
          <cell r="B119" t="str">
            <v>0B</v>
          </cell>
          <cell r="C119">
            <v>5999.5</v>
          </cell>
          <cell r="D119">
            <v>0</v>
          </cell>
          <cell r="E119">
            <v>507.91481323580899</v>
          </cell>
          <cell r="F119">
            <v>571.28767066706587</v>
          </cell>
          <cell r="G119">
            <v>631.86466674106146</v>
          </cell>
          <cell r="H119">
            <v>350.41462344342051</v>
          </cell>
          <cell r="I119">
            <v>461.31712394812007</v>
          </cell>
          <cell r="J119">
            <v>657.0274189564135</v>
          </cell>
          <cell r="K119">
            <v>0.6</v>
          </cell>
          <cell r="L119">
            <v>0.8</v>
          </cell>
          <cell r="M119">
            <v>1.1399999999999999</v>
          </cell>
          <cell r="N119">
            <v>1</v>
          </cell>
          <cell r="O119">
            <v>890.015865394858</v>
          </cell>
          <cell r="P119">
            <v>1032.6047946151859</v>
          </cell>
          <cell r="Q119">
            <v>1259.069564553354</v>
          </cell>
          <cell r="R119">
            <v>379.34842053169598</v>
          </cell>
          <cell r="S119">
            <v>1101.2475518395397</v>
          </cell>
          <cell r="T119">
            <v>1454.6782654998631</v>
          </cell>
          <cell r="U119">
            <v>1167.2259093282937</v>
          </cell>
          <cell r="V119">
            <v>3388.4540056601218</v>
          </cell>
          <cell r="W119">
            <v>4475.9331246149632</v>
          </cell>
          <cell r="X119">
            <v>0.98522808586762078</v>
          </cell>
          <cell r="Y119">
            <v>1338.713268088482</v>
          </cell>
          <cell r="Z119">
            <v>2126.7122871640099</v>
          </cell>
          <cell r="AA119">
            <v>2595.3487494089195</v>
          </cell>
        </row>
        <row r="120">
          <cell r="B120" t="str">
            <v>0C</v>
          </cell>
          <cell r="C120">
            <v>4911.5</v>
          </cell>
          <cell r="D120">
            <v>0</v>
          </cell>
          <cell r="E120">
            <v>420.31115737495389</v>
          </cell>
          <cell r="F120">
            <v>456.6573550193512</v>
          </cell>
          <cell r="G120">
            <v>490.20769130648722</v>
          </cell>
          <cell r="H120">
            <v>247.89970701050495</v>
          </cell>
          <cell r="I120">
            <v>342.9589931573903</v>
          </cell>
          <cell r="J120">
            <v>491.13964509224098</v>
          </cell>
          <cell r="K120">
            <v>0.54</v>
          </cell>
          <cell r="L120">
            <v>0.75</v>
          </cell>
          <cell r="M120">
            <v>1.08</v>
          </cell>
          <cell r="N120">
            <v>1</v>
          </cell>
          <cell r="O120">
            <v>686.84994010053435</v>
          </cell>
          <cell r="P120">
            <v>799.61634817674155</v>
          </cell>
          <cell r="Q120">
            <v>964.57216825516025</v>
          </cell>
          <cell r="R120">
            <v>297.51990020994833</v>
          </cell>
          <cell r="S120">
            <v>864.47328018394489</v>
          </cell>
          <cell r="T120">
            <v>1817.6121319741985</v>
          </cell>
          <cell r="U120">
            <v>915.44584679984155</v>
          </cell>
          <cell r="V120">
            <v>2659.9177851813665</v>
          </cell>
          <cell r="W120">
            <v>5592.6527137667626</v>
          </cell>
          <cell r="X120">
            <v>0.94317010309278371</v>
          </cell>
          <cell r="Y120">
            <v>1028.4344215210754</v>
          </cell>
          <cell r="Z120">
            <v>1640.2224498131091</v>
          </cell>
          <cell r="AA120">
            <v>2672.2826039104589</v>
          </cell>
        </row>
        <row r="121">
          <cell r="B121" t="str">
            <v>0D</v>
          </cell>
          <cell r="C121">
            <v>3951.5</v>
          </cell>
          <cell r="D121" t="str">
            <v>All</v>
          </cell>
          <cell r="E121">
            <v>329.91164015683739</v>
          </cell>
          <cell r="F121">
            <v>362.53002265821965</v>
          </cell>
          <cell r="G121">
            <v>406.33185058864717</v>
          </cell>
          <cell r="H121">
            <v>195.71029500829337</v>
          </cell>
          <cell r="I121">
            <v>251.62752215352006</v>
          </cell>
          <cell r="J121">
            <v>325.25187122806852</v>
          </cell>
          <cell r="K121">
            <v>0.54</v>
          </cell>
          <cell r="L121">
            <v>0.69</v>
          </cell>
          <cell r="M121">
            <v>0.89</v>
          </cell>
          <cell r="N121">
            <v>0.98</v>
          </cell>
          <cell r="O121">
            <v>542.39710330869877</v>
          </cell>
          <cell r="P121">
            <v>609.49777588297081</v>
          </cell>
          <cell r="Q121">
            <v>709.216830958625</v>
          </cell>
          <cell r="R121">
            <v>252.67595749405575</v>
          </cell>
          <cell r="S121">
            <v>560.27968843142298</v>
          </cell>
          <cell r="T121">
            <v>767.6716350774808</v>
          </cell>
          <cell r="U121">
            <v>777.46448459709495</v>
          </cell>
          <cell r="V121">
            <v>1723.937502865921</v>
          </cell>
          <cell r="W121">
            <v>2362.0665694691847</v>
          </cell>
          <cell r="X121">
            <v>0.90400369003689962</v>
          </cell>
          <cell r="Y121">
            <v>812.69637114395346</v>
          </cell>
          <cell r="Z121">
            <v>1143.7497406619354</v>
          </cell>
          <cell r="AA121">
            <v>1410.247256061208</v>
          </cell>
        </row>
        <row r="122">
          <cell r="B122" t="str">
            <v>1A</v>
          </cell>
          <cell r="C122">
            <v>3439.5</v>
          </cell>
          <cell r="D122" t="str">
            <v>Companies</v>
          </cell>
          <cell r="E122">
            <v>302.88498036997782</v>
          </cell>
          <cell r="F122">
            <v>324.31991744231476</v>
          </cell>
          <cell r="G122">
            <v>365.32588401548094</v>
          </cell>
          <cell r="H122">
            <v>151.90846707786582</v>
          </cell>
          <cell r="I122">
            <v>205.96178665158493</v>
          </cell>
          <cell r="J122">
            <v>287.9737197979174</v>
          </cell>
          <cell r="K122">
            <v>0.47</v>
          </cell>
          <cell r="L122">
            <v>0.64</v>
          </cell>
          <cell r="M122">
            <v>0.89</v>
          </cell>
          <cell r="N122">
            <v>0.96</v>
          </cell>
          <cell r="O122">
            <v>465.04493909113523</v>
          </cell>
          <cell r="P122">
            <v>522.82607380786942</v>
          </cell>
          <cell r="Q122">
            <v>632.79662052681522</v>
          </cell>
          <cell r="R122">
            <v>195.98517701181527</v>
          </cell>
          <cell r="S122">
            <v>404.47598704412451</v>
          </cell>
          <cell r="T122">
            <v>734.78173983747524</v>
          </cell>
          <cell r="U122">
            <v>603.03131388250779</v>
          </cell>
          <cell r="V122">
            <v>1244.5414985973057</v>
          </cell>
          <cell r="W122">
            <v>2260.866891807615</v>
          </cell>
          <cell r="X122">
            <v>0.88005766062602953</v>
          </cell>
          <cell r="Y122">
            <v>674.41058330946828</v>
          </cell>
          <cell r="Z122">
            <v>903.27202517442674</v>
          </cell>
          <cell r="AA122">
            <v>1289.8516756745685</v>
          </cell>
        </row>
        <row r="123">
          <cell r="B123" t="str">
            <v>1B</v>
          </cell>
          <cell r="C123">
            <v>2999.5</v>
          </cell>
          <cell r="D123">
            <v>0</v>
          </cell>
          <cell r="E123">
            <v>269.33464408284186</v>
          </cell>
          <cell r="F123">
            <v>283.31395086914853</v>
          </cell>
          <cell r="G123">
            <v>309.40865687025428</v>
          </cell>
          <cell r="H123">
            <v>113.69836186196092</v>
          </cell>
          <cell r="I123">
            <v>167.75168143568004</v>
          </cell>
          <cell r="J123">
            <v>236.71626158145961</v>
          </cell>
          <cell r="K123">
            <v>0.4</v>
          </cell>
          <cell r="L123">
            <v>0.59</v>
          </cell>
          <cell r="M123">
            <v>0.82</v>
          </cell>
          <cell r="N123">
            <v>0.94</v>
          </cell>
          <cell r="O123">
            <v>390.48863623083298</v>
          </cell>
          <cell r="P123">
            <v>440.81414066153695</v>
          </cell>
          <cell r="Q123">
            <v>533.07756545116104</v>
          </cell>
          <cell r="R123">
            <v>173.23215179321491</v>
          </cell>
          <cell r="S123">
            <v>320.06765473939959</v>
          </cell>
          <cell r="T123">
            <v>611.71177786884982</v>
          </cell>
          <cell r="U123">
            <v>533.02200551758415</v>
          </cell>
          <cell r="V123">
            <v>984.82355304430644</v>
          </cell>
          <cell r="W123">
            <v>1882.1900857503078</v>
          </cell>
          <cell r="X123">
            <v>0.85971739130434777</v>
          </cell>
          <cell r="Y123">
            <v>572.71396515656727</v>
          </cell>
          <cell r="Z123">
            <v>738.87524719699354</v>
          </cell>
          <cell r="AA123">
            <v>1078.0831263667249</v>
          </cell>
        </row>
        <row r="124">
          <cell r="B124" t="str">
            <v>1C</v>
          </cell>
          <cell r="C124">
            <v>2615.5</v>
          </cell>
          <cell r="D124">
            <v>0</v>
          </cell>
          <cell r="E124">
            <v>233.92040022419826</v>
          </cell>
          <cell r="F124">
            <v>247.89970701050495</v>
          </cell>
          <cell r="G124">
            <v>262.81096758256541</v>
          </cell>
          <cell r="H124">
            <v>87.603655860855127</v>
          </cell>
          <cell r="I124">
            <v>134.20134514854402</v>
          </cell>
          <cell r="J124">
            <v>177.07121929321781</v>
          </cell>
          <cell r="K124">
            <v>0.36</v>
          </cell>
          <cell r="L124">
            <v>0.54</v>
          </cell>
          <cell r="M124">
            <v>0.7</v>
          </cell>
          <cell r="N124">
            <v>0.92</v>
          </cell>
          <cell r="O124">
            <v>328.04773258532987</v>
          </cell>
          <cell r="P124">
            <v>371.84956051575739</v>
          </cell>
          <cell r="Q124">
            <v>432.42655658975298</v>
          </cell>
          <cell r="R124">
            <v>132.46514493115808</v>
          </cell>
          <cell r="S124">
            <v>244.25191294728828</v>
          </cell>
          <cell r="T124">
            <v>356.57592290365938</v>
          </cell>
          <cell r="U124">
            <v>407.58506132664064</v>
          </cell>
          <cell r="V124">
            <v>751.54434753011685</v>
          </cell>
          <cell r="W124">
            <v>1097.1566858574135</v>
          </cell>
          <cell r="X124">
            <v>0.84363095238095243</v>
          </cell>
          <cell r="Y124">
            <v>469.23318378306442</v>
          </cell>
          <cell r="Z124">
            <v>597.61813878659143</v>
          </cell>
          <cell r="AA124">
            <v>745.23573530921601</v>
          </cell>
        </row>
        <row r="125">
          <cell r="B125" t="str">
            <v>2A</v>
          </cell>
          <cell r="C125">
            <v>2271.5</v>
          </cell>
          <cell r="D125">
            <v>0</v>
          </cell>
          <cell r="E125">
            <v>210.62155558035383</v>
          </cell>
          <cell r="F125">
            <v>226.46476993816805</v>
          </cell>
          <cell r="G125">
            <v>242.30798429598227</v>
          </cell>
          <cell r="H125">
            <v>69.896533931533341</v>
          </cell>
          <cell r="I125">
            <v>108.10663914743824</v>
          </cell>
          <cell r="J125">
            <v>135.13329893429781</v>
          </cell>
          <cell r="K125">
            <v>0.27</v>
          </cell>
          <cell r="L125">
            <v>0.38</v>
          </cell>
          <cell r="M125">
            <v>0.52</v>
          </cell>
          <cell r="N125">
            <v>0.81</v>
          </cell>
          <cell r="O125">
            <v>287.9737197979174</v>
          </cell>
          <cell r="P125">
            <v>323.38796365656094</v>
          </cell>
          <cell r="Q125">
            <v>369.0536991584961</v>
          </cell>
          <cell r="R125">
            <v>47.911059266044887</v>
          </cell>
          <cell r="S125">
            <v>131.92385226603088</v>
          </cell>
          <cell r="T125">
            <v>223.84398056853854</v>
          </cell>
          <cell r="U125">
            <v>147.41864389552279</v>
          </cell>
          <cell r="V125">
            <v>405.91954543394047</v>
          </cell>
          <cell r="W125">
            <v>688.75070944165418</v>
          </cell>
          <cell r="X125">
            <v>0.8299553571428594</v>
          </cell>
          <cell r="Y125">
            <v>348.50772395620095</v>
          </cell>
          <cell r="Z125">
            <v>444.48370869294246</v>
          </cell>
          <cell r="AA125">
            <v>560.95712937230383</v>
          </cell>
        </row>
        <row r="126">
          <cell r="B126" t="str">
            <v>2B</v>
          </cell>
          <cell r="C126">
            <v>1975.5</v>
          </cell>
          <cell r="D126">
            <v>0</v>
          </cell>
          <cell r="E126">
            <v>185.45880336500181</v>
          </cell>
          <cell r="F126">
            <v>199.43811015130848</v>
          </cell>
          <cell r="G126">
            <v>212.48546315186138</v>
          </cell>
          <cell r="H126">
            <v>56.849180930980459</v>
          </cell>
          <cell r="I126">
            <v>84.807794503593797</v>
          </cell>
          <cell r="J126">
            <v>112.76640807620713</v>
          </cell>
          <cell r="K126">
            <v>0.28999999999999998</v>
          </cell>
          <cell r="L126">
            <v>0.43</v>
          </cell>
          <cell r="M126">
            <v>0.55000000000000004</v>
          </cell>
          <cell r="N126">
            <v>0.86</v>
          </cell>
          <cell r="O126">
            <v>249.76361458201251</v>
          </cell>
          <cell r="P126">
            <v>273.06245922585697</v>
          </cell>
          <cell r="Q126">
            <v>319.66014851354583</v>
          </cell>
          <cell r="R126">
            <v>71.482480949246721</v>
          </cell>
          <cell r="S126">
            <v>152.38771111577572</v>
          </cell>
          <cell r="T126">
            <v>229.53168445437697</v>
          </cell>
          <cell r="U126">
            <v>219.94609522845147</v>
          </cell>
          <cell r="V126">
            <v>468.88526497161791</v>
          </cell>
          <cell r="W126">
            <v>706.2513367827006</v>
          </cell>
          <cell r="X126">
            <v>0.80352678571428393</v>
          </cell>
          <cell r="Y126">
            <v>323.05650985478263</v>
          </cell>
          <cell r="Z126">
            <v>410.00141862005268</v>
          </cell>
          <cell r="AA126">
            <v>514.15973570195411</v>
          </cell>
        </row>
        <row r="127">
          <cell r="B127" t="str">
            <v>3A</v>
          </cell>
          <cell r="C127">
            <v>1719.5</v>
          </cell>
          <cell r="D127">
            <v>0</v>
          </cell>
          <cell r="E127">
            <v>164.9558200784187</v>
          </cell>
          <cell r="F127">
            <v>174.27535793595649</v>
          </cell>
          <cell r="G127">
            <v>186.3907571507556</v>
          </cell>
          <cell r="H127">
            <v>46.597689287688901</v>
          </cell>
          <cell r="I127">
            <v>67.100672574272011</v>
          </cell>
          <cell r="J127">
            <v>93.195378575377802</v>
          </cell>
          <cell r="K127">
            <v>0.27</v>
          </cell>
          <cell r="L127">
            <v>0.38</v>
          </cell>
          <cell r="M127">
            <v>0.52</v>
          </cell>
          <cell r="N127">
            <v>0.81</v>
          </cell>
          <cell r="O127">
            <v>216.21327829487649</v>
          </cell>
          <cell r="P127">
            <v>237.6482153672134</v>
          </cell>
          <cell r="Q127">
            <v>273.06245922585697</v>
          </cell>
          <cell r="R127">
            <v>22.170328677254375</v>
          </cell>
          <cell r="S127">
            <v>126.40040416228277</v>
          </cell>
          <cell r="T127">
            <v>178.92721434592625</v>
          </cell>
          <cell r="U127">
            <v>68.216395930013604</v>
          </cell>
          <cell r="V127">
            <v>388.92432049933177</v>
          </cell>
          <cell r="W127">
            <v>550.54527491054228</v>
          </cell>
          <cell r="X127">
            <v>0.69456168831168907</v>
          </cell>
          <cell r="Y127">
            <v>238.37974613711043</v>
          </cell>
          <cell r="Z127">
            <v>345.78662566643857</v>
          </cell>
          <cell r="AA127">
            <v>421.44281554336919</v>
          </cell>
        </row>
        <row r="130">
          <cell r="B130" t="str">
            <v>Work</v>
          </cell>
          <cell r="C130" t="str">
            <v>Hay
Mid-</v>
          </cell>
          <cell r="D130" t="str">
            <v>Market
data</v>
          </cell>
          <cell r="E130" t="str">
            <v>Salaire de base</v>
          </cell>
          <cell r="F130">
            <v>0</v>
          </cell>
          <cell r="G130">
            <v>0</v>
          </cell>
          <cell r="H130" t="str">
            <v>Bonus (kF)</v>
          </cell>
          <cell r="I130">
            <v>0</v>
          </cell>
          <cell r="J130">
            <v>0</v>
          </cell>
          <cell r="K130" t="str">
            <v>Bonus (%)</v>
          </cell>
          <cell r="L130">
            <v>0</v>
          </cell>
          <cell r="M130">
            <v>0</v>
          </cell>
          <cell r="N130">
            <v>0</v>
          </cell>
          <cell r="O130" t="str">
            <v>Rém. Espèces</v>
          </cell>
          <cell r="P130">
            <v>0</v>
          </cell>
          <cell r="Q130">
            <v>0</v>
          </cell>
          <cell r="R130" t="str">
            <v>LTI Values</v>
          </cell>
          <cell r="S130">
            <v>0</v>
          </cell>
          <cell r="T130">
            <v>0</v>
          </cell>
          <cell r="U130" t="str">
            <v>Stock-option
grant equivalent</v>
          </cell>
          <cell r="V130">
            <v>0</v>
          </cell>
          <cell r="W130">
            <v>0</v>
          </cell>
          <cell r="X130">
            <v>0</v>
          </cell>
          <cell r="Y130" t="str">
            <v>Rém. Totale Directe</v>
          </cell>
        </row>
        <row r="131">
          <cell r="B131" t="str">
            <v>level</v>
          </cell>
          <cell r="C131" t="str">
            <v>point</v>
          </cell>
          <cell r="D131" t="str">
            <v>used</v>
          </cell>
          <cell r="E131">
            <v>25</v>
          </cell>
          <cell r="F131">
            <v>50</v>
          </cell>
          <cell r="G131">
            <v>75</v>
          </cell>
          <cell r="H131">
            <v>25</v>
          </cell>
          <cell r="I131">
            <v>50</v>
          </cell>
          <cell r="J131">
            <v>75</v>
          </cell>
          <cell r="K131">
            <v>25</v>
          </cell>
          <cell r="L131">
            <v>50</v>
          </cell>
          <cell r="M131">
            <v>75</v>
          </cell>
          <cell r="N131" t="str">
            <v>%</v>
          </cell>
          <cell r="O131">
            <v>25</v>
          </cell>
          <cell r="P131">
            <v>50</v>
          </cell>
          <cell r="Q131">
            <v>75</v>
          </cell>
          <cell r="R131">
            <v>25</v>
          </cell>
          <cell r="S131">
            <v>50</v>
          </cell>
          <cell r="T131">
            <v>75</v>
          </cell>
          <cell r="U131">
            <v>25</v>
          </cell>
          <cell r="V131">
            <v>50</v>
          </cell>
          <cell r="W131">
            <v>75</v>
          </cell>
          <cell r="X131" t="str">
            <v>%</v>
          </cell>
          <cell r="Y131">
            <v>25</v>
          </cell>
          <cell r="Z131">
            <v>50</v>
          </cell>
          <cell r="AA131">
            <v>75</v>
          </cell>
        </row>
        <row r="132">
          <cell r="B132" t="str">
            <v>0A</v>
          </cell>
          <cell r="C132">
            <v>8200</v>
          </cell>
          <cell r="D132">
            <v>0</v>
          </cell>
          <cell r="E132">
            <v>1087.4003629772617</v>
          </cell>
          <cell r="F132">
            <v>1162.914277072905</v>
          </cell>
          <cell r="G132">
            <v>1238.428191168548</v>
          </cell>
          <cell r="H132">
            <v>1158.3834422271664</v>
          </cell>
          <cell r="I132">
            <v>1404.5588021789631</v>
          </cell>
          <cell r="J132">
            <v>1650.7341621307598</v>
          </cell>
          <cell r="K132">
            <v>0.97</v>
          </cell>
          <cell r="L132">
            <v>1.2</v>
          </cell>
          <cell r="M132">
            <v>1.42</v>
          </cell>
          <cell r="N132">
            <v>1</v>
          </cell>
          <cell r="O132">
            <v>2283.5407622522494</v>
          </cell>
          <cell r="P132">
            <v>2567.4730792518681</v>
          </cell>
          <cell r="Q132">
            <v>2851.4053962514863</v>
          </cell>
          <cell r="R132">
            <v>785.344706594689</v>
          </cell>
          <cell r="S132">
            <v>1011.8864488816185</v>
          </cell>
          <cell r="T132">
            <v>1238.428191168548</v>
          </cell>
          <cell r="U132">
            <v>2416.4452510605815</v>
          </cell>
          <cell r="V132">
            <v>3114.1938173043245</v>
          </cell>
          <cell r="W132">
            <v>3810.4321052661544</v>
          </cell>
          <cell r="X132">
            <v>1</v>
          </cell>
          <cell r="Y132">
            <v>3068.8854688469387</v>
          </cell>
          <cell r="Z132">
            <v>3579.3595281334865</v>
          </cell>
          <cell r="AA132">
            <v>4086.8130308562086</v>
          </cell>
        </row>
        <row r="133">
          <cell r="B133" t="str">
            <v>0B</v>
          </cell>
          <cell r="C133">
            <v>5999.5</v>
          </cell>
          <cell r="D133">
            <v>0</v>
          </cell>
          <cell r="E133">
            <v>755.13914095643167</v>
          </cell>
          <cell r="F133">
            <v>830.65305505207493</v>
          </cell>
          <cell r="G133">
            <v>906.16696914771808</v>
          </cell>
          <cell r="H133">
            <v>604.11131276514539</v>
          </cell>
          <cell r="I133">
            <v>906.16696914771808</v>
          </cell>
          <cell r="J133">
            <v>1208.2226255302908</v>
          </cell>
          <cell r="K133">
            <v>0.73</v>
          </cell>
          <cell r="L133">
            <v>1.0900000000000001</v>
          </cell>
          <cell r="M133">
            <v>1.45</v>
          </cell>
          <cell r="N133">
            <v>1</v>
          </cell>
          <cell r="O133">
            <v>1397.0074107693986</v>
          </cell>
          <cell r="P133">
            <v>1736.8200241997929</v>
          </cell>
          <cell r="Q133">
            <v>2076.6326376301872</v>
          </cell>
          <cell r="R133">
            <v>453.08348457385904</v>
          </cell>
          <cell r="S133">
            <v>679.62522686078853</v>
          </cell>
          <cell r="T133">
            <v>906.16696914771808</v>
          </cell>
          <cell r="U133">
            <v>1393.9868542055729</v>
          </cell>
          <cell r="V133">
            <v>2090.2251421674032</v>
          </cell>
          <cell r="W133">
            <v>2787.9737084111457</v>
          </cell>
          <cell r="X133">
            <v>1</v>
          </cell>
          <cell r="Y133">
            <v>1850.0908953432577</v>
          </cell>
          <cell r="Z133">
            <v>2416.4452510605815</v>
          </cell>
          <cell r="AA133">
            <v>2979.7790502140797</v>
          </cell>
        </row>
        <row r="134">
          <cell r="B134" t="str">
            <v>0C</v>
          </cell>
          <cell r="C134">
            <v>4911.5</v>
          </cell>
          <cell r="D134">
            <v>0</v>
          </cell>
          <cell r="E134">
            <v>590.51880822792964</v>
          </cell>
          <cell r="F134">
            <v>638.84771324914118</v>
          </cell>
          <cell r="G134">
            <v>687.17661827035283</v>
          </cell>
          <cell r="H134">
            <v>330.7509437389171</v>
          </cell>
          <cell r="I134">
            <v>495.37127646741919</v>
          </cell>
          <cell r="J134">
            <v>659.99160919592134</v>
          </cell>
          <cell r="K134">
            <v>0.49</v>
          </cell>
          <cell r="L134">
            <v>0.73</v>
          </cell>
          <cell r="M134">
            <v>0.98</v>
          </cell>
          <cell r="N134">
            <v>1</v>
          </cell>
          <cell r="O134">
            <v>945.43420447745257</v>
          </cell>
          <cell r="P134">
            <v>1134.2189897165604</v>
          </cell>
          <cell r="Q134">
            <v>1323.0037749556684</v>
          </cell>
          <cell r="R134">
            <v>288.46315184535689</v>
          </cell>
          <cell r="S134">
            <v>487.81988505785489</v>
          </cell>
          <cell r="T134">
            <v>687.17661827035283</v>
          </cell>
          <cell r="U134">
            <v>888.04362976476375</v>
          </cell>
          <cell r="V134">
            <v>1501.2166122213862</v>
          </cell>
          <cell r="W134">
            <v>2114.389594678009</v>
          </cell>
          <cell r="X134">
            <v>1</v>
          </cell>
          <cell r="Y134">
            <v>1233.8973563228094</v>
          </cell>
          <cell r="Z134">
            <v>1622.0388747744153</v>
          </cell>
          <cell r="AA134">
            <v>2008.6701149441085</v>
          </cell>
        </row>
        <row r="135">
          <cell r="B135" t="str">
            <v>0D</v>
          </cell>
          <cell r="C135">
            <v>3951.5</v>
          </cell>
          <cell r="D135">
            <v>0</v>
          </cell>
          <cell r="E135">
            <v>445.53209316429474</v>
          </cell>
          <cell r="F135">
            <v>483.28905021211631</v>
          </cell>
          <cell r="G135">
            <v>521.04600725993794</v>
          </cell>
          <cell r="H135">
            <v>199.35673321249797</v>
          </cell>
          <cell r="I135">
            <v>283.93231699961831</v>
          </cell>
          <cell r="J135">
            <v>370.01817906865153</v>
          </cell>
          <cell r="K135">
            <v>0.42</v>
          </cell>
          <cell r="L135">
            <v>0.57999999999999996</v>
          </cell>
          <cell r="M135">
            <v>0.75</v>
          </cell>
          <cell r="N135">
            <v>1</v>
          </cell>
          <cell r="O135">
            <v>663.01216575974706</v>
          </cell>
          <cell r="P135">
            <v>768.73164549364753</v>
          </cell>
          <cell r="Q135">
            <v>872.94084694563503</v>
          </cell>
          <cell r="R135">
            <v>199.35673321249797</v>
          </cell>
          <cell r="S135">
            <v>345.85372655804571</v>
          </cell>
          <cell r="T135">
            <v>493.86099818550633</v>
          </cell>
          <cell r="U135">
            <v>611.66270417470969</v>
          </cell>
          <cell r="V135">
            <v>1066.2564670304816</v>
          </cell>
          <cell r="W135">
            <v>1519.3399516043405</v>
          </cell>
          <cell r="X135">
            <v>0.96</v>
          </cell>
          <cell r="Y135">
            <v>839.7147247435521</v>
          </cell>
          <cell r="Z135">
            <v>1097.9723109506517</v>
          </cell>
          <cell r="AA135">
            <v>1350.1887840300999</v>
          </cell>
        </row>
        <row r="136">
          <cell r="B136" t="str">
            <v>1A</v>
          </cell>
          <cell r="C136">
            <v>3439.5</v>
          </cell>
          <cell r="D136" t="str">
            <v>Pharma</v>
          </cell>
          <cell r="E136">
            <v>368.50790078673867</v>
          </cell>
          <cell r="F136">
            <v>406.26485783456025</v>
          </cell>
          <cell r="G136">
            <v>444.02181488238188</v>
          </cell>
          <cell r="H136">
            <v>173.68200241997928</v>
          </cell>
          <cell r="I136">
            <v>232.58285541458096</v>
          </cell>
          <cell r="J136">
            <v>292.99398669109553</v>
          </cell>
          <cell r="K136">
            <v>0.43</v>
          </cell>
          <cell r="L136">
            <v>0.56999999999999995</v>
          </cell>
          <cell r="M136">
            <v>0.71</v>
          </cell>
          <cell r="N136">
            <v>1</v>
          </cell>
          <cell r="O136">
            <v>560.31324258967231</v>
          </cell>
          <cell r="P136">
            <v>638.84771324914118</v>
          </cell>
          <cell r="Q136">
            <v>717.38218390861016</v>
          </cell>
          <cell r="R136">
            <v>173.68200241997928</v>
          </cell>
          <cell r="S136">
            <v>282.42203871770545</v>
          </cell>
          <cell r="T136">
            <v>391.16207501543164</v>
          </cell>
          <cell r="U136">
            <v>533.12823351524082</v>
          </cell>
          <cell r="V136">
            <v>866.89973381798359</v>
          </cell>
          <cell r="W136">
            <v>1202.1815124026393</v>
          </cell>
          <cell r="X136">
            <v>0.93</v>
          </cell>
          <cell r="Y136">
            <v>690.19717483417855</v>
          </cell>
          <cell r="Z136">
            <v>889.55390804667661</v>
          </cell>
          <cell r="AA136">
            <v>1079.8489715676974</v>
          </cell>
        </row>
        <row r="137">
          <cell r="B137" t="str">
            <v>1B</v>
          </cell>
          <cell r="C137">
            <v>2999.5</v>
          </cell>
          <cell r="D137">
            <v>0</v>
          </cell>
          <cell r="E137">
            <v>302.05565638257269</v>
          </cell>
          <cell r="F137">
            <v>339.81261343039426</v>
          </cell>
          <cell r="G137">
            <v>377.56957047821584</v>
          </cell>
          <cell r="H137">
            <v>151.02782819128635</v>
          </cell>
          <cell r="I137">
            <v>188.78478523910792</v>
          </cell>
          <cell r="J137">
            <v>226.54174228692952</v>
          </cell>
          <cell r="K137">
            <v>0.44</v>
          </cell>
          <cell r="L137">
            <v>0.56000000000000005</v>
          </cell>
          <cell r="M137">
            <v>0.67</v>
          </cell>
          <cell r="N137">
            <v>1</v>
          </cell>
          <cell r="O137">
            <v>471.20682395681337</v>
          </cell>
          <cell r="P137">
            <v>528.59739866950224</v>
          </cell>
          <cell r="Q137">
            <v>584.4776951002782</v>
          </cell>
          <cell r="R137">
            <v>151.02782819128635</v>
          </cell>
          <cell r="S137">
            <v>226.54174228692952</v>
          </cell>
          <cell r="T137">
            <v>302.05565638257269</v>
          </cell>
          <cell r="U137">
            <v>465.16571082916192</v>
          </cell>
          <cell r="V137">
            <v>696.23828796183</v>
          </cell>
          <cell r="W137">
            <v>928.82114337641099</v>
          </cell>
          <cell r="X137">
            <v>0.9</v>
          </cell>
          <cell r="Y137">
            <v>561.82352087158517</v>
          </cell>
          <cell r="Z137">
            <v>709.83079249904586</v>
          </cell>
          <cell r="AA137">
            <v>845.75583787120354</v>
          </cell>
        </row>
        <row r="138">
          <cell r="B138" t="str">
            <v>1C</v>
          </cell>
          <cell r="C138">
            <v>2615.5</v>
          </cell>
          <cell r="D138">
            <v>0</v>
          </cell>
          <cell r="E138">
            <v>261.2781427709254</v>
          </cell>
          <cell r="F138">
            <v>291.48370840918267</v>
          </cell>
          <cell r="G138">
            <v>323.1995523293528</v>
          </cell>
          <cell r="H138">
            <v>119.31198427111622</v>
          </cell>
          <cell r="I138">
            <v>149.51754990937349</v>
          </cell>
          <cell r="J138">
            <v>181.23339382954362</v>
          </cell>
          <cell r="K138">
            <v>0.42</v>
          </cell>
          <cell r="L138">
            <v>0.51</v>
          </cell>
          <cell r="M138">
            <v>0.6</v>
          </cell>
          <cell r="N138">
            <v>0.92</v>
          </cell>
          <cell r="O138">
            <v>395.69290986117022</v>
          </cell>
          <cell r="P138">
            <v>430.42931034516607</v>
          </cell>
          <cell r="Q138">
            <v>489.33016333976775</v>
          </cell>
          <cell r="R138">
            <v>116.29142770729048</v>
          </cell>
          <cell r="S138">
            <v>172.17172413806642</v>
          </cell>
          <cell r="T138">
            <v>229.56229885075524</v>
          </cell>
          <cell r="U138">
            <v>356.42567453143579</v>
          </cell>
          <cell r="V138">
            <v>530.1076769514151</v>
          </cell>
          <cell r="W138">
            <v>708.320514217133</v>
          </cell>
          <cell r="X138">
            <v>0.83</v>
          </cell>
          <cell r="Y138">
            <v>395.69290986117022</v>
          </cell>
          <cell r="Z138">
            <v>545.21045977054371</v>
          </cell>
          <cell r="AA138">
            <v>667.54300060548564</v>
          </cell>
        </row>
        <row r="139">
          <cell r="B139" t="str">
            <v>2A</v>
          </cell>
          <cell r="C139">
            <v>2271.5</v>
          </cell>
          <cell r="D139">
            <v>0</v>
          </cell>
          <cell r="E139">
            <v>223.5211857231038</v>
          </cell>
          <cell r="F139">
            <v>249.19591651562246</v>
          </cell>
          <cell r="G139">
            <v>274.87064730814114</v>
          </cell>
          <cell r="H139">
            <v>90.616696914771808</v>
          </cell>
          <cell r="I139">
            <v>114.78114942537762</v>
          </cell>
          <cell r="J139">
            <v>140.45588021789629</v>
          </cell>
          <cell r="K139">
            <v>0.38</v>
          </cell>
          <cell r="L139">
            <v>0.46</v>
          </cell>
          <cell r="M139">
            <v>0.54</v>
          </cell>
          <cell r="N139">
            <v>0.89</v>
          </cell>
          <cell r="O139">
            <v>327.73038717509138</v>
          </cell>
          <cell r="P139">
            <v>351.89483968569721</v>
          </cell>
          <cell r="Q139">
            <v>403.24430127073452</v>
          </cell>
          <cell r="R139">
            <v>87.596140350946087</v>
          </cell>
          <cell r="S139">
            <v>128.37365396259338</v>
          </cell>
          <cell r="T139">
            <v>172.17172413806642</v>
          </cell>
          <cell r="U139">
            <v>268.8295341804897</v>
          </cell>
          <cell r="V139">
            <v>397.20318814308308</v>
          </cell>
          <cell r="W139">
            <v>530.1076769514151</v>
          </cell>
          <cell r="X139">
            <v>0.79</v>
          </cell>
          <cell r="Y139">
            <v>327.73038717509138</v>
          </cell>
          <cell r="Z139">
            <v>427.40875378134035</v>
          </cell>
          <cell r="AA139">
            <v>527.08712038758938</v>
          </cell>
        </row>
        <row r="140">
          <cell r="B140" t="str">
            <v>2B</v>
          </cell>
          <cell r="C140">
            <v>1975.5</v>
          </cell>
          <cell r="D140">
            <v>0</v>
          </cell>
          <cell r="E140">
            <v>193.31562008484653</v>
          </cell>
          <cell r="F140">
            <v>212.94923774971375</v>
          </cell>
          <cell r="G140">
            <v>232.58285541458096</v>
          </cell>
          <cell r="H140">
            <v>66.452244404165995</v>
          </cell>
          <cell r="I140">
            <v>84.575583787120351</v>
          </cell>
          <cell r="J140">
            <v>105.71947973390044</v>
          </cell>
          <cell r="K140">
            <v>0.32</v>
          </cell>
          <cell r="L140">
            <v>0.4</v>
          </cell>
          <cell r="M140">
            <v>0.48</v>
          </cell>
          <cell r="N140">
            <v>0.86</v>
          </cell>
          <cell r="O140">
            <v>268.8295341804897</v>
          </cell>
          <cell r="P140">
            <v>285.44259528153117</v>
          </cell>
          <cell r="Q140">
            <v>329.24066545700424</v>
          </cell>
          <cell r="R140">
            <v>66.452244404165995</v>
          </cell>
          <cell r="S140">
            <v>96.657810042423264</v>
          </cell>
          <cell r="T140">
            <v>129.88393224450627</v>
          </cell>
          <cell r="U140">
            <v>202.37728977632369</v>
          </cell>
          <cell r="V140">
            <v>297.52482153683411</v>
          </cell>
          <cell r="W140">
            <v>398.71346642499594</v>
          </cell>
          <cell r="X140">
            <v>0.76</v>
          </cell>
          <cell r="Y140">
            <v>268.8295341804897</v>
          </cell>
          <cell r="Z140">
            <v>335.28177858465568</v>
          </cell>
          <cell r="AA140">
            <v>416.83680580795033</v>
          </cell>
        </row>
        <row r="141">
          <cell r="B141" t="str">
            <v>3A</v>
          </cell>
          <cell r="C141">
            <v>1719.5</v>
          </cell>
          <cell r="D141">
            <v>0</v>
          </cell>
          <cell r="E141">
            <v>164.62033272850212</v>
          </cell>
          <cell r="F141">
            <v>181.23339382954362</v>
          </cell>
          <cell r="G141">
            <v>196.33617664867225</v>
          </cell>
          <cell r="H141">
            <v>45.308348457385904</v>
          </cell>
          <cell r="I141">
            <v>58.900852994601671</v>
          </cell>
          <cell r="J141">
            <v>75.513914095643173</v>
          </cell>
          <cell r="K141">
            <v>0.26</v>
          </cell>
          <cell r="L141">
            <v>0.33</v>
          </cell>
          <cell r="M141">
            <v>0.41</v>
          </cell>
          <cell r="N141">
            <v>0.81</v>
          </cell>
          <cell r="O141">
            <v>218.99035087736519</v>
          </cell>
          <cell r="P141">
            <v>238.62396854223243</v>
          </cell>
          <cell r="Q141">
            <v>264.29869933475112</v>
          </cell>
          <cell r="R141">
            <v>49.839183303124493</v>
          </cell>
          <cell r="S141">
            <v>72.493357531817452</v>
          </cell>
          <cell r="T141">
            <v>96.657810042423264</v>
          </cell>
          <cell r="U141">
            <v>152.53810647319921</v>
          </cell>
          <cell r="V141">
            <v>222.01090744119094</v>
          </cell>
          <cell r="W141">
            <v>299.03509981874697</v>
          </cell>
          <cell r="X141">
            <v>0.71</v>
          </cell>
          <cell r="Y141">
            <v>218.99035087736519</v>
          </cell>
          <cell r="Z141">
            <v>268.8295341804897</v>
          </cell>
          <cell r="AA141">
            <v>323.1995523293528</v>
          </cell>
        </row>
        <row r="144">
          <cell r="B144" t="str">
            <v>Work</v>
          </cell>
          <cell r="C144" t="str">
            <v>Hay
Mid-</v>
          </cell>
          <cell r="D144" t="str">
            <v>Market
data</v>
          </cell>
          <cell r="E144" t="str">
            <v>Salaire de base</v>
          </cell>
          <cell r="F144">
            <v>0</v>
          </cell>
          <cell r="G144">
            <v>0</v>
          </cell>
          <cell r="H144" t="str">
            <v>Bonus (kF)</v>
          </cell>
          <cell r="I144">
            <v>0</v>
          </cell>
          <cell r="J144">
            <v>0</v>
          </cell>
          <cell r="K144" t="str">
            <v>Bonus (%)</v>
          </cell>
          <cell r="L144">
            <v>0</v>
          </cell>
          <cell r="M144">
            <v>0</v>
          </cell>
          <cell r="N144">
            <v>0</v>
          </cell>
          <cell r="O144" t="str">
            <v>Rém. Espèces</v>
          </cell>
          <cell r="P144">
            <v>0</v>
          </cell>
          <cell r="Q144">
            <v>0</v>
          </cell>
          <cell r="R144" t="str">
            <v>LTI Values</v>
          </cell>
          <cell r="S144">
            <v>0</v>
          </cell>
          <cell r="T144">
            <v>0</v>
          </cell>
          <cell r="U144" t="str">
            <v>Stock-option
grant equivalent</v>
          </cell>
          <cell r="V144">
            <v>0</v>
          </cell>
          <cell r="W144">
            <v>0</v>
          </cell>
          <cell r="X144">
            <v>0</v>
          </cell>
          <cell r="Y144" t="str">
            <v>Rém. Totale Directe</v>
          </cell>
        </row>
        <row r="145">
          <cell r="B145" t="str">
            <v>level</v>
          </cell>
          <cell r="C145" t="str">
            <v>point</v>
          </cell>
          <cell r="D145" t="str">
            <v>used</v>
          </cell>
          <cell r="E145">
            <v>25</v>
          </cell>
          <cell r="F145">
            <v>50</v>
          </cell>
          <cell r="G145">
            <v>75</v>
          </cell>
          <cell r="H145">
            <v>25</v>
          </cell>
          <cell r="I145">
            <v>50</v>
          </cell>
          <cell r="J145">
            <v>75</v>
          </cell>
          <cell r="K145">
            <v>25</v>
          </cell>
          <cell r="L145">
            <v>50</v>
          </cell>
          <cell r="M145">
            <v>75</v>
          </cell>
          <cell r="N145" t="str">
            <v>%</v>
          </cell>
          <cell r="O145">
            <v>25</v>
          </cell>
          <cell r="P145">
            <v>50</v>
          </cell>
          <cell r="Q145">
            <v>75</v>
          </cell>
          <cell r="R145">
            <v>25</v>
          </cell>
          <cell r="S145">
            <v>50</v>
          </cell>
          <cell r="T145">
            <v>75</v>
          </cell>
          <cell r="U145">
            <v>25</v>
          </cell>
          <cell r="V145">
            <v>50</v>
          </cell>
          <cell r="W145">
            <v>75</v>
          </cell>
          <cell r="X145" t="str">
            <v>%</v>
          </cell>
          <cell r="Y145">
            <v>25</v>
          </cell>
          <cell r="Z145">
            <v>50</v>
          </cell>
          <cell r="AA145">
            <v>75</v>
          </cell>
        </row>
        <row r="146">
          <cell r="B146" t="str">
            <v>0A</v>
          </cell>
          <cell r="C146">
            <v>8200</v>
          </cell>
          <cell r="D146">
            <v>0</v>
          </cell>
          <cell r="E146">
            <v>592.0290865098425</v>
          </cell>
          <cell r="F146">
            <v>741.54663641921593</v>
          </cell>
          <cell r="G146">
            <v>857.83806412650642</v>
          </cell>
          <cell r="H146">
            <v>228.05202056884238</v>
          </cell>
          <cell r="I146">
            <v>300.54537810065983</v>
          </cell>
          <cell r="J146">
            <v>477.24793708446487</v>
          </cell>
          <cell r="K146">
            <v>0.1</v>
          </cell>
          <cell r="L146">
            <v>0.3</v>
          </cell>
          <cell r="M146">
            <v>0.52</v>
          </cell>
          <cell r="N146">
            <v>1</v>
          </cell>
          <cell r="O146">
            <v>894.08474289241519</v>
          </cell>
          <cell r="P146">
            <v>1042.0920145198759</v>
          </cell>
          <cell r="Q146">
            <v>1277.6954264982824</v>
          </cell>
          <cell r="R146">
            <v>629.78604355766402</v>
          </cell>
          <cell r="S146">
            <v>945.43420447745257</v>
          </cell>
          <cell r="T146">
            <v>1178.0170598920336</v>
          </cell>
          <cell r="U146">
            <v>1936.176757412291</v>
          </cell>
          <cell r="V146">
            <v>2910.3062492460876</v>
          </cell>
          <cell r="W146">
            <v>3626.1781548727849</v>
          </cell>
          <cell r="X146">
            <v>0.88</v>
          </cell>
          <cell r="Y146">
            <v>1579.7510828808552</v>
          </cell>
          <cell r="Z146">
            <v>1859.1525650347348</v>
          </cell>
          <cell r="AA146">
            <v>2205.0062915927806</v>
          </cell>
        </row>
        <row r="147">
          <cell r="B147" t="str">
            <v>0B</v>
          </cell>
          <cell r="C147">
            <v>5999.5</v>
          </cell>
          <cell r="D147">
            <v>0</v>
          </cell>
          <cell r="E147">
            <v>508.963781004635</v>
          </cell>
          <cell r="F147">
            <v>617.70381730236113</v>
          </cell>
          <cell r="G147">
            <v>715.8719056266973</v>
          </cell>
          <cell r="H147">
            <v>77.024192377556034</v>
          </cell>
          <cell r="I147">
            <v>160.08949788276354</v>
          </cell>
          <cell r="J147">
            <v>276.38092559005401</v>
          </cell>
          <cell r="K147">
            <v>0.12</v>
          </cell>
          <cell r="L147">
            <v>0.26</v>
          </cell>
          <cell r="M147">
            <v>0.45</v>
          </cell>
          <cell r="N147">
            <v>1</v>
          </cell>
          <cell r="O147">
            <v>640.35799153105415</v>
          </cell>
          <cell r="P147">
            <v>776.28303690321184</v>
          </cell>
          <cell r="Q147">
            <v>942.41364791362673</v>
          </cell>
          <cell r="R147">
            <v>493.86099818550633</v>
          </cell>
          <cell r="S147">
            <v>756.64941923834454</v>
          </cell>
          <cell r="T147">
            <v>992.25283121675125</v>
          </cell>
          <cell r="U147">
            <v>1520.8502298862534</v>
          </cell>
          <cell r="V147">
            <v>2325.8285541458099</v>
          </cell>
          <cell r="W147">
            <v>3052.272407745897</v>
          </cell>
          <cell r="X147">
            <v>0.85</v>
          </cell>
          <cell r="Y147">
            <v>1076.8284150038717</v>
          </cell>
          <cell r="Z147">
            <v>1415.1307501523531</v>
          </cell>
          <cell r="AA147">
            <v>1682.4500060509299</v>
          </cell>
        </row>
        <row r="148">
          <cell r="B148" t="str">
            <v>0C</v>
          </cell>
          <cell r="C148">
            <v>4911.5</v>
          </cell>
          <cell r="D148">
            <v>0</v>
          </cell>
          <cell r="E148">
            <v>419.85736237177605</v>
          </cell>
          <cell r="F148">
            <v>472.71710223872628</v>
          </cell>
          <cell r="G148">
            <v>549.74129461628229</v>
          </cell>
          <cell r="H148">
            <v>46.818626739298765</v>
          </cell>
          <cell r="I148">
            <v>143.47643678172201</v>
          </cell>
          <cell r="J148">
            <v>246.17535995179674</v>
          </cell>
          <cell r="K148">
            <v>0.1</v>
          </cell>
          <cell r="L148">
            <v>0.3</v>
          </cell>
          <cell r="M148">
            <v>0.52</v>
          </cell>
          <cell r="N148">
            <v>1</v>
          </cell>
          <cell r="O148">
            <v>493.86099818550633</v>
          </cell>
          <cell r="P148">
            <v>616.19353902044827</v>
          </cell>
          <cell r="Q148">
            <v>756.64941923834454</v>
          </cell>
          <cell r="R148">
            <v>356.42567453143579</v>
          </cell>
          <cell r="S148">
            <v>548.23101633436943</v>
          </cell>
          <cell r="T148">
            <v>688.68689655226569</v>
          </cell>
          <cell r="U148">
            <v>1094.951754386826</v>
          </cell>
          <cell r="V148">
            <v>1685.4705626147556</v>
          </cell>
          <cell r="W148">
            <v>2120.4307078056604</v>
          </cell>
          <cell r="X148">
            <v>0.82</v>
          </cell>
          <cell r="Y148">
            <v>800.44748941381761</v>
          </cell>
          <cell r="Z148">
            <v>1057.1947973390045</v>
          </cell>
          <cell r="AA148">
            <v>1259.572087115328</v>
          </cell>
        </row>
        <row r="149">
          <cell r="B149" t="str">
            <v>0D</v>
          </cell>
          <cell r="C149">
            <v>3951.5</v>
          </cell>
          <cell r="D149">
            <v>0</v>
          </cell>
          <cell r="E149">
            <v>332.26122202082996</v>
          </cell>
          <cell r="F149">
            <v>385.1209618877802</v>
          </cell>
          <cell r="G149">
            <v>463.65543254724906</v>
          </cell>
          <cell r="H149">
            <v>33.226122202082998</v>
          </cell>
          <cell r="I149">
            <v>95.147531760510404</v>
          </cell>
          <cell r="J149">
            <v>144.9867150636349</v>
          </cell>
          <cell r="K149">
            <v>0.09</v>
          </cell>
          <cell r="L149">
            <v>0.25</v>
          </cell>
          <cell r="M149">
            <v>0.37</v>
          </cell>
          <cell r="N149">
            <v>1</v>
          </cell>
          <cell r="O149">
            <v>392.6723532973445</v>
          </cell>
          <cell r="P149">
            <v>480.26849364829059</v>
          </cell>
          <cell r="Q149">
            <v>567.86463399923662</v>
          </cell>
          <cell r="R149">
            <v>258.25758620709962</v>
          </cell>
          <cell r="S149">
            <v>404.75457955264739</v>
          </cell>
          <cell r="T149">
            <v>513.49461585037352</v>
          </cell>
          <cell r="U149">
            <v>794.40637628616616</v>
          </cell>
          <cell r="V149">
            <v>1245.9795825781123</v>
          </cell>
          <cell r="W149">
            <v>1579.7510828808552</v>
          </cell>
          <cell r="X149">
            <v>0.79</v>
          </cell>
          <cell r="Y149">
            <v>622.23465214809971</v>
          </cell>
          <cell r="Z149">
            <v>794.40637628616616</v>
          </cell>
          <cell r="AA149">
            <v>927.31086509449813</v>
          </cell>
        </row>
        <row r="150">
          <cell r="B150" t="str">
            <v>1A</v>
          </cell>
          <cell r="C150">
            <v>3439.5</v>
          </cell>
          <cell r="D150" t="str">
            <v>All</v>
          </cell>
          <cell r="E150">
            <v>294.50426497300839</v>
          </cell>
          <cell r="F150">
            <v>345.85372655804571</v>
          </cell>
          <cell r="G150">
            <v>401.73402298882166</v>
          </cell>
          <cell r="H150">
            <v>33.226122202082998</v>
          </cell>
          <cell r="I150">
            <v>93.637253478597529</v>
          </cell>
          <cell r="J150">
            <v>134.41476709024485</v>
          </cell>
          <cell r="K150">
            <v>0.09</v>
          </cell>
          <cell r="L150">
            <v>0.27</v>
          </cell>
          <cell r="M150">
            <v>0.39</v>
          </cell>
          <cell r="N150">
            <v>0.98</v>
          </cell>
          <cell r="O150">
            <v>353.40511796761007</v>
          </cell>
          <cell r="P150">
            <v>439.49098003664324</v>
          </cell>
          <cell r="Q150">
            <v>508.963781004635</v>
          </cell>
          <cell r="R150">
            <v>214.45951603162661</v>
          </cell>
          <cell r="S150">
            <v>347.36400483995857</v>
          </cell>
          <cell r="T150">
            <v>445.53209316429474</v>
          </cell>
          <cell r="U150">
            <v>661.5018874778342</v>
          </cell>
          <cell r="V150">
            <v>1069.2770235943074</v>
          </cell>
          <cell r="W150">
            <v>1369.8224016949671</v>
          </cell>
          <cell r="X150">
            <v>0.75</v>
          </cell>
          <cell r="Y150">
            <v>373.03873563247726</v>
          </cell>
          <cell r="Z150">
            <v>694.72800967991714</v>
          </cell>
          <cell r="AA150">
            <v>803.46804597764333</v>
          </cell>
        </row>
        <row r="151">
          <cell r="B151" t="str">
            <v>1B</v>
          </cell>
          <cell r="C151">
            <v>2999.5</v>
          </cell>
          <cell r="D151" t="str">
            <v>Companies</v>
          </cell>
          <cell r="E151">
            <v>252.21647307944821</v>
          </cell>
          <cell r="F151">
            <v>289.97343012726981</v>
          </cell>
          <cell r="G151">
            <v>335.28177858465568</v>
          </cell>
          <cell r="H151">
            <v>21.143895946780088</v>
          </cell>
          <cell r="I151">
            <v>74.003635813730313</v>
          </cell>
          <cell r="J151">
            <v>125.35309739876766</v>
          </cell>
          <cell r="K151">
            <v>7.0000000000000007E-2</v>
          </cell>
          <cell r="L151">
            <v>0.25</v>
          </cell>
          <cell r="M151">
            <v>0.43</v>
          </cell>
          <cell r="N151">
            <v>0.95</v>
          </cell>
          <cell r="O151">
            <v>291.48370840918267</v>
          </cell>
          <cell r="P151">
            <v>362.46678765908723</v>
          </cell>
          <cell r="Q151">
            <v>437.98070175473038</v>
          </cell>
          <cell r="R151">
            <v>179.72311554763075</v>
          </cell>
          <cell r="S151">
            <v>265.80897761666398</v>
          </cell>
          <cell r="T151">
            <v>335.28177858465568</v>
          </cell>
          <cell r="U151">
            <v>554.27212946202087</v>
          </cell>
          <cell r="V151">
            <v>818.57082879677193</v>
          </cell>
          <cell r="W151">
            <v>1033.0303448283985</v>
          </cell>
          <cell r="X151">
            <v>0.71</v>
          </cell>
          <cell r="Y151">
            <v>291.48370840918267</v>
          </cell>
          <cell r="Z151">
            <v>549.74129461628229</v>
          </cell>
          <cell r="AA151">
            <v>650.92993950444418</v>
          </cell>
        </row>
        <row r="152">
          <cell r="B152" t="str">
            <v>1C</v>
          </cell>
          <cell r="C152">
            <v>2615.5</v>
          </cell>
          <cell r="D152">
            <v>0</v>
          </cell>
          <cell r="E152">
            <v>209.92868118588802</v>
          </cell>
          <cell r="F152">
            <v>238.62396854223243</v>
          </cell>
          <cell r="G152">
            <v>277.89120387196687</v>
          </cell>
          <cell r="H152">
            <v>13.59250453721577</v>
          </cell>
          <cell r="I152">
            <v>51.349461585037353</v>
          </cell>
          <cell r="J152">
            <v>107.2297580158133</v>
          </cell>
          <cell r="K152">
            <v>0.06</v>
          </cell>
          <cell r="L152">
            <v>0.22</v>
          </cell>
          <cell r="M152">
            <v>0.43</v>
          </cell>
          <cell r="N152">
            <v>0.93</v>
          </cell>
          <cell r="O152">
            <v>238.62396854223243</v>
          </cell>
          <cell r="P152">
            <v>289.97343012726981</v>
          </cell>
          <cell r="Q152">
            <v>365.48734422291295</v>
          </cell>
          <cell r="R152">
            <v>129.88393224450627</v>
          </cell>
          <cell r="S152">
            <v>199.35673321249797</v>
          </cell>
          <cell r="T152">
            <v>258.25758620709962</v>
          </cell>
          <cell r="U152">
            <v>400.2237447069088</v>
          </cell>
          <cell r="V152">
            <v>614.68326073853541</v>
          </cell>
          <cell r="W152">
            <v>794.40637628616616</v>
          </cell>
          <cell r="X152">
            <v>0.67</v>
          </cell>
          <cell r="Y152">
            <v>238.62396854223243</v>
          </cell>
          <cell r="Z152">
            <v>422.87791893560177</v>
          </cell>
          <cell r="AA152">
            <v>518.02545069611222</v>
          </cell>
        </row>
        <row r="153">
          <cell r="B153" t="str">
            <v>2A</v>
          </cell>
          <cell r="C153">
            <v>2271.5</v>
          </cell>
          <cell r="D153">
            <v>0</v>
          </cell>
          <cell r="E153">
            <v>176.70255898380503</v>
          </cell>
          <cell r="F153">
            <v>206.9081246220623</v>
          </cell>
          <cell r="G153">
            <v>237.11369026031957</v>
          </cell>
          <cell r="H153">
            <v>15.102782819128635</v>
          </cell>
          <cell r="I153">
            <v>39.267235329734447</v>
          </cell>
          <cell r="J153">
            <v>83.06530550520749</v>
          </cell>
          <cell r="K153">
            <v>7.0000000000000007E-2</v>
          </cell>
          <cell r="L153">
            <v>0.19</v>
          </cell>
          <cell r="M153">
            <v>0.39</v>
          </cell>
          <cell r="N153">
            <v>0.9</v>
          </cell>
          <cell r="O153">
            <v>205.39784634014941</v>
          </cell>
          <cell r="P153">
            <v>246.17535995179674</v>
          </cell>
          <cell r="Q153">
            <v>305.07621294639841</v>
          </cell>
          <cell r="R153">
            <v>74.003635813730313</v>
          </cell>
          <cell r="S153">
            <v>122.33254083494194</v>
          </cell>
          <cell r="T153">
            <v>152.53810647319921</v>
          </cell>
          <cell r="U153">
            <v>226.54174228692952</v>
          </cell>
          <cell r="V153">
            <v>377.56957047821584</v>
          </cell>
          <cell r="W153">
            <v>468.18626739298765</v>
          </cell>
          <cell r="X153">
            <v>0.63</v>
          </cell>
          <cell r="Y153">
            <v>205.39784634014941</v>
          </cell>
          <cell r="Z153">
            <v>321.68927404743994</v>
          </cell>
          <cell r="AA153">
            <v>391.16207501543164</v>
          </cell>
        </row>
        <row r="154">
          <cell r="B154" t="str">
            <v>2B</v>
          </cell>
          <cell r="C154">
            <v>1975.5</v>
          </cell>
          <cell r="D154">
            <v>0</v>
          </cell>
          <cell r="E154">
            <v>151.02782819128635</v>
          </cell>
          <cell r="F154">
            <v>176.70255898380503</v>
          </cell>
          <cell r="G154">
            <v>205.39784634014941</v>
          </cell>
          <cell r="H154">
            <v>7.5513914095643173</v>
          </cell>
          <cell r="I154">
            <v>27.185009074431541</v>
          </cell>
          <cell r="J154">
            <v>58.900852994601671</v>
          </cell>
          <cell r="K154">
            <v>0.05</v>
          </cell>
          <cell r="L154">
            <v>0.16</v>
          </cell>
          <cell r="M154">
            <v>0.32</v>
          </cell>
          <cell r="N154">
            <v>0.85</v>
          </cell>
          <cell r="O154">
            <v>172.17172413806642</v>
          </cell>
          <cell r="P154">
            <v>205.39784634014941</v>
          </cell>
          <cell r="Q154">
            <v>250.70619479753532</v>
          </cell>
          <cell r="R154">
            <v>57.39057471268881</v>
          </cell>
          <cell r="S154">
            <v>99.678366606248986</v>
          </cell>
          <cell r="T154">
            <v>120.82226255302908</v>
          </cell>
          <cell r="U154">
            <v>178.21283726571789</v>
          </cell>
          <cell r="V154">
            <v>306.58649122831127</v>
          </cell>
          <cell r="W154">
            <v>371.52845735056439</v>
          </cell>
          <cell r="X154">
            <v>0.59</v>
          </cell>
          <cell r="Y154">
            <v>172.17172413806642</v>
          </cell>
          <cell r="Z154">
            <v>261.2781427709254</v>
          </cell>
          <cell r="AA154">
            <v>314.13788263787558</v>
          </cell>
        </row>
        <row r="155">
          <cell r="B155" t="str">
            <v>3A</v>
          </cell>
          <cell r="C155">
            <v>1719.5</v>
          </cell>
          <cell r="D155">
            <v>0</v>
          </cell>
          <cell r="E155">
            <v>132.90448880833199</v>
          </cell>
          <cell r="F155">
            <v>152.53810647319921</v>
          </cell>
          <cell r="G155">
            <v>176.70255898380503</v>
          </cell>
          <cell r="H155">
            <v>4.5308348457385907</v>
          </cell>
          <cell r="I155">
            <v>24.164452510605816</v>
          </cell>
          <cell r="J155">
            <v>45.308348457385904</v>
          </cell>
          <cell r="K155">
            <v>0.03</v>
          </cell>
          <cell r="L155">
            <v>0.16</v>
          </cell>
          <cell r="M155">
            <v>0.28999999999999998</v>
          </cell>
          <cell r="N155">
            <v>0.8</v>
          </cell>
          <cell r="O155">
            <v>146.49699334554776</v>
          </cell>
          <cell r="P155">
            <v>176.70255898380503</v>
          </cell>
          <cell r="Q155">
            <v>209.92868118588802</v>
          </cell>
          <cell r="R155">
            <v>36.246678765908726</v>
          </cell>
          <cell r="S155">
            <v>60.411131276514539</v>
          </cell>
          <cell r="T155">
            <v>74.003635813730313</v>
          </cell>
          <cell r="U155">
            <v>110.25031457963902</v>
          </cell>
          <cell r="V155">
            <v>187.27450695719506</v>
          </cell>
          <cell r="W155">
            <v>228.05202056884238</v>
          </cell>
          <cell r="X155">
            <v>0.55000000000000004</v>
          </cell>
          <cell r="Y155">
            <v>146.49699334554776</v>
          </cell>
          <cell r="Z155">
            <v>208.41840290397516</v>
          </cell>
          <cell r="AA155">
            <v>246.17535995179674</v>
          </cell>
        </row>
        <row r="158">
          <cell r="B158" t="str">
            <v>Work</v>
          </cell>
          <cell r="C158" t="str">
            <v>Hay
Mid-</v>
          </cell>
          <cell r="D158" t="str">
            <v>Market
data</v>
          </cell>
          <cell r="E158" t="str">
            <v>Salaire de base</v>
          </cell>
          <cell r="F158">
            <v>0</v>
          </cell>
          <cell r="G158">
            <v>0</v>
          </cell>
          <cell r="H158" t="str">
            <v>Bonus (kF)</v>
          </cell>
          <cell r="I158">
            <v>0</v>
          </cell>
          <cell r="J158">
            <v>0</v>
          </cell>
          <cell r="K158" t="str">
            <v>Bonus (%)</v>
          </cell>
          <cell r="L158">
            <v>0</v>
          </cell>
          <cell r="M158">
            <v>0</v>
          </cell>
          <cell r="N158">
            <v>0</v>
          </cell>
          <cell r="O158" t="str">
            <v>Rém. Espèces</v>
          </cell>
          <cell r="P158">
            <v>0</v>
          </cell>
          <cell r="Q158">
            <v>0</v>
          </cell>
          <cell r="R158" t="str">
            <v>LTI Values</v>
          </cell>
          <cell r="S158">
            <v>0</v>
          </cell>
          <cell r="T158">
            <v>0</v>
          </cell>
          <cell r="U158" t="str">
            <v>Stock-option
grant equivalent</v>
          </cell>
          <cell r="V158">
            <v>0</v>
          </cell>
          <cell r="W158">
            <v>0</v>
          </cell>
          <cell r="X158">
            <v>0</v>
          </cell>
          <cell r="Y158" t="str">
            <v>Rém. Totale Directe</v>
          </cell>
        </row>
        <row r="159">
          <cell r="B159" t="str">
            <v>level</v>
          </cell>
          <cell r="C159" t="str">
            <v>point</v>
          </cell>
          <cell r="D159" t="str">
            <v>used</v>
          </cell>
          <cell r="E159">
            <v>25</v>
          </cell>
          <cell r="F159">
            <v>50</v>
          </cell>
          <cell r="G159">
            <v>75</v>
          </cell>
          <cell r="H159">
            <v>25</v>
          </cell>
          <cell r="I159">
            <v>50</v>
          </cell>
          <cell r="J159">
            <v>75</v>
          </cell>
          <cell r="K159">
            <v>25</v>
          </cell>
          <cell r="L159">
            <v>50</v>
          </cell>
          <cell r="M159">
            <v>75</v>
          </cell>
          <cell r="N159" t="str">
            <v>%</v>
          </cell>
          <cell r="O159">
            <v>25</v>
          </cell>
          <cell r="P159">
            <v>50</v>
          </cell>
          <cell r="Q159">
            <v>75</v>
          </cell>
          <cell r="R159">
            <v>25</v>
          </cell>
          <cell r="S159">
            <v>50</v>
          </cell>
          <cell r="T159">
            <v>75</v>
          </cell>
          <cell r="U159">
            <v>25</v>
          </cell>
          <cell r="V159">
            <v>50</v>
          </cell>
          <cell r="W159">
            <v>75</v>
          </cell>
          <cell r="X159" t="str">
            <v>%</v>
          </cell>
          <cell r="Y159">
            <v>25</v>
          </cell>
          <cell r="Z159">
            <v>50</v>
          </cell>
          <cell r="AA159">
            <v>75</v>
          </cell>
        </row>
        <row r="160">
          <cell r="B160" t="str">
            <v>0A</v>
          </cell>
          <cell r="C160">
            <v>8200</v>
          </cell>
          <cell r="D160">
            <v>0</v>
          </cell>
          <cell r="E160">
            <v>592.0290865098425</v>
          </cell>
          <cell r="F160">
            <v>741.54663641921593</v>
          </cell>
          <cell r="G160">
            <v>857.83806412650642</v>
          </cell>
          <cell r="H160">
            <v>228.05202056884238</v>
          </cell>
          <cell r="I160">
            <v>300.54537810065983</v>
          </cell>
          <cell r="J160">
            <v>477.24793708446487</v>
          </cell>
          <cell r="K160">
            <v>0.1</v>
          </cell>
          <cell r="L160">
            <v>0.3</v>
          </cell>
          <cell r="M160">
            <v>0.52</v>
          </cell>
          <cell r="N160">
            <v>1</v>
          </cell>
          <cell r="O160">
            <v>894.08474289241519</v>
          </cell>
          <cell r="P160">
            <v>1042.0920145198759</v>
          </cell>
          <cell r="Q160">
            <v>1277.6954264982824</v>
          </cell>
          <cell r="R160">
            <v>629.78604355766402</v>
          </cell>
          <cell r="S160">
            <v>945.43420447745257</v>
          </cell>
          <cell r="T160">
            <v>1178.0170598920336</v>
          </cell>
          <cell r="U160">
            <v>1936.176757412291</v>
          </cell>
          <cell r="V160">
            <v>2910.3062492460876</v>
          </cell>
          <cell r="W160">
            <v>3626.1781548727849</v>
          </cell>
          <cell r="X160">
            <v>0.88</v>
          </cell>
          <cell r="Y160">
            <v>1579.7510828808552</v>
          </cell>
          <cell r="Z160">
            <v>1859.1525650347348</v>
          </cell>
          <cell r="AA160">
            <v>2205.0062915927806</v>
          </cell>
        </row>
        <row r="161">
          <cell r="B161" t="str">
            <v>0B</v>
          </cell>
          <cell r="C161">
            <v>5999.5</v>
          </cell>
          <cell r="D161">
            <v>0</v>
          </cell>
          <cell r="E161">
            <v>508.963781004635</v>
          </cell>
          <cell r="F161">
            <v>617.70381730236113</v>
          </cell>
          <cell r="G161">
            <v>715.8719056266973</v>
          </cell>
          <cell r="H161">
            <v>77.024192377556034</v>
          </cell>
          <cell r="I161">
            <v>160.08949788276354</v>
          </cell>
          <cell r="J161">
            <v>276.38092559005401</v>
          </cell>
          <cell r="K161">
            <v>0.12</v>
          </cell>
          <cell r="L161">
            <v>0.26</v>
          </cell>
          <cell r="M161">
            <v>0.45</v>
          </cell>
          <cell r="N161">
            <v>1</v>
          </cell>
          <cell r="O161">
            <v>640.35799153105415</v>
          </cell>
          <cell r="P161">
            <v>776.28303690321184</v>
          </cell>
          <cell r="Q161">
            <v>942.41364791362673</v>
          </cell>
          <cell r="R161">
            <v>493.86099818550633</v>
          </cell>
          <cell r="S161">
            <v>756.64941923834454</v>
          </cell>
          <cell r="T161">
            <v>992.25283121675125</v>
          </cell>
          <cell r="U161">
            <v>1520.8502298862534</v>
          </cell>
          <cell r="V161">
            <v>2325.8285541458099</v>
          </cell>
          <cell r="W161">
            <v>3052.272407745897</v>
          </cell>
          <cell r="X161">
            <v>0.85</v>
          </cell>
          <cell r="Y161">
            <v>1076.8284150038717</v>
          </cell>
          <cell r="Z161">
            <v>1415.1307501523531</v>
          </cell>
          <cell r="AA161">
            <v>1682.4500060509299</v>
          </cell>
        </row>
        <row r="162">
          <cell r="B162" t="str">
            <v>0C</v>
          </cell>
          <cell r="C162">
            <v>4911.5</v>
          </cell>
          <cell r="D162">
            <v>0</v>
          </cell>
          <cell r="E162">
            <v>419.85736237177605</v>
          </cell>
          <cell r="F162">
            <v>472.71710223872628</v>
          </cell>
          <cell r="G162">
            <v>549.74129461628229</v>
          </cell>
          <cell r="H162">
            <v>46.818626739298765</v>
          </cell>
          <cell r="I162">
            <v>143.47643678172201</v>
          </cell>
          <cell r="J162">
            <v>246.17535995179674</v>
          </cell>
          <cell r="K162">
            <v>0.1</v>
          </cell>
          <cell r="L162">
            <v>0.3</v>
          </cell>
          <cell r="M162">
            <v>0.52</v>
          </cell>
          <cell r="N162">
            <v>1</v>
          </cell>
          <cell r="O162">
            <v>493.86099818550633</v>
          </cell>
          <cell r="P162">
            <v>616.19353902044827</v>
          </cell>
          <cell r="Q162">
            <v>756.64941923834454</v>
          </cell>
          <cell r="R162">
            <v>356.42567453143579</v>
          </cell>
          <cell r="S162">
            <v>548.23101633436943</v>
          </cell>
          <cell r="T162">
            <v>688.68689655226569</v>
          </cell>
          <cell r="U162">
            <v>1094.951754386826</v>
          </cell>
          <cell r="V162">
            <v>1685.4705626147556</v>
          </cell>
          <cell r="W162">
            <v>2120.4307078056604</v>
          </cell>
          <cell r="X162">
            <v>0.82</v>
          </cell>
          <cell r="Y162">
            <v>800.44748941381761</v>
          </cell>
          <cell r="Z162">
            <v>1057.1947973390045</v>
          </cell>
          <cell r="AA162">
            <v>1259.572087115328</v>
          </cell>
        </row>
        <row r="163">
          <cell r="B163" t="str">
            <v>0D</v>
          </cell>
          <cell r="C163">
            <v>3951.5</v>
          </cell>
          <cell r="D163">
            <v>0</v>
          </cell>
          <cell r="E163">
            <v>332.26122202082996</v>
          </cell>
          <cell r="F163">
            <v>385.1209618877802</v>
          </cell>
          <cell r="G163">
            <v>463.65543254724906</v>
          </cell>
          <cell r="H163">
            <v>33.226122202082998</v>
          </cell>
          <cell r="I163">
            <v>95.147531760510404</v>
          </cell>
          <cell r="J163">
            <v>144.9867150636349</v>
          </cell>
          <cell r="K163">
            <v>0.09</v>
          </cell>
          <cell r="L163">
            <v>0.25</v>
          </cell>
          <cell r="M163">
            <v>0.37</v>
          </cell>
          <cell r="N163">
            <v>1</v>
          </cell>
          <cell r="O163">
            <v>392.6723532973445</v>
          </cell>
          <cell r="P163">
            <v>480.26849364829059</v>
          </cell>
          <cell r="Q163">
            <v>567.86463399923662</v>
          </cell>
          <cell r="R163">
            <v>258.25758620709962</v>
          </cell>
          <cell r="S163">
            <v>404.75457955264739</v>
          </cell>
          <cell r="T163">
            <v>513.49461585037352</v>
          </cell>
          <cell r="U163">
            <v>794.40637628616616</v>
          </cell>
          <cell r="V163">
            <v>1245.9795825781123</v>
          </cell>
          <cell r="W163">
            <v>1579.7510828808552</v>
          </cell>
          <cell r="X163">
            <v>0.79</v>
          </cell>
          <cell r="Y163">
            <v>622.23465214809971</v>
          </cell>
          <cell r="Z163">
            <v>794.40637628616616</v>
          </cell>
          <cell r="AA163">
            <v>927.31086509449813</v>
          </cell>
        </row>
        <row r="164">
          <cell r="B164" t="str">
            <v>1A</v>
          </cell>
          <cell r="C164">
            <v>3439.5</v>
          </cell>
          <cell r="D164" t="str">
            <v>All</v>
          </cell>
          <cell r="E164">
            <v>294.50426497300839</v>
          </cell>
          <cell r="F164">
            <v>345.85372655804571</v>
          </cell>
          <cell r="G164">
            <v>401.73402298882166</v>
          </cell>
          <cell r="H164">
            <v>33.226122202082998</v>
          </cell>
          <cell r="I164">
            <v>93.637253478597529</v>
          </cell>
          <cell r="J164">
            <v>134.41476709024485</v>
          </cell>
          <cell r="K164">
            <v>0.09</v>
          </cell>
          <cell r="L164">
            <v>0.27</v>
          </cell>
          <cell r="M164">
            <v>0.39</v>
          </cell>
          <cell r="N164">
            <v>0.98</v>
          </cell>
          <cell r="O164">
            <v>353.40511796761007</v>
          </cell>
          <cell r="P164">
            <v>439.49098003664324</v>
          </cell>
          <cell r="Q164">
            <v>508.963781004635</v>
          </cell>
          <cell r="R164">
            <v>214.45951603162661</v>
          </cell>
          <cell r="S164">
            <v>347.36400483995857</v>
          </cell>
          <cell r="T164">
            <v>445.53209316429474</v>
          </cell>
          <cell r="U164">
            <v>661.5018874778342</v>
          </cell>
          <cell r="V164">
            <v>1069.2770235943074</v>
          </cell>
          <cell r="W164">
            <v>1369.8224016949671</v>
          </cell>
          <cell r="X164">
            <v>0.75</v>
          </cell>
          <cell r="Y164">
            <v>373.03873563247726</v>
          </cell>
          <cell r="Z164">
            <v>694.72800967991714</v>
          </cell>
          <cell r="AA164">
            <v>803.46804597764333</v>
          </cell>
        </row>
        <row r="165">
          <cell r="B165" t="str">
            <v>1B</v>
          </cell>
          <cell r="C165">
            <v>2999.5</v>
          </cell>
          <cell r="D165" t="str">
            <v>Companies</v>
          </cell>
          <cell r="E165">
            <v>252.21647307944821</v>
          </cell>
          <cell r="F165">
            <v>289.97343012726981</v>
          </cell>
          <cell r="G165">
            <v>335.28177858465568</v>
          </cell>
          <cell r="H165">
            <v>21.143895946780088</v>
          </cell>
          <cell r="I165">
            <v>74.003635813730313</v>
          </cell>
          <cell r="J165">
            <v>125.35309739876766</v>
          </cell>
          <cell r="K165">
            <v>7.0000000000000007E-2</v>
          </cell>
          <cell r="L165">
            <v>0.25</v>
          </cell>
          <cell r="M165">
            <v>0.43</v>
          </cell>
          <cell r="N165">
            <v>0.95</v>
          </cell>
          <cell r="O165">
            <v>291.48370840918267</v>
          </cell>
          <cell r="P165">
            <v>362.46678765908723</v>
          </cell>
          <cell r="Q165">
            <v>437.98070175473038</v>
          </cell>
          <cell r="R165">
            <v>179.72311554763075</v>
          </cell>
          <cell r="S165">
            <v>265.80897761666398</v>
          </cell>
          <cell r="T165">
            <v>335.28177858465568</v>
          </cell>
          <cell r="U165">
            <v>554.27212946202087</v>
          </cell>
          <cell r="V165">
            <v>818.57082879677193</v>
          </cell>
          <cell r="W165">
            <v>1033.0303448283985</v>
          </cell>
          <cell r="X165">
            <v>0.71</v>
          </cell>
          <cell r="Y165">
            <v>291.48370840918267</v>
          </cell>
          <cell r="Z165">
            <v>549.74129461628229</v>
          </cell>
          <cell r="AA165">
            <v>650.92993950444418</v>
          </cell>
        </row>
        <row r="166">
          <cell r="B166" t="str">
            <v>1C</v>
          </cell>
          <cell r="C166">
            <v>2615.5</v>
          </cell>
          <cell r="D166">
            <v>0</v>
          </cell>
          <cell r="E166">
            <v>209.92868118588802</v>
          </cell>
          <cell r="F166">
            <v>238.62396854223243</v>
          </cell>
          <cell r="G166">
            <v>277.89120387196687</v>
          </cell>
          <cell r="H166">
            <v>13.59250453721577</v>
          </cell>
          <cell r="I166">
            <v>51.349461585037353</v>
          </cell>
          <cell r="J166">
            <v>107.2297580158133</v>
          </cell>
          <cell r="K166">
            <v>0.06</v>
          </cell>
          <cell r="L166">
            <v>0.22</v>
          </cell>
          <cell r="M166">
            <v>0.43</v>
          </cell>
          <cell r="N166">
            <v>0.93</v>
          </cell>
          <cell r="O166">
            <v>238.62396854223243</v>
          </cell>
          <cell r="P166">
            <v>289.97343012726981</v>
          </cell>
          <cell r="Q166">
            <v>365.48734422291295</v>
          </cell>
          <cell r="R166">
            <v>129.88393224450627</v>
          </cell>
          <cell r="S166">
            <v>199.35673321249797</v>
          </cell>
          <cell r="T166">
            <v>258.25758620709962</v>
          </cell>
          <cell r="U166">
            <v>400.2237447069088</v>
          </cell>
          <cell r="V166">
            <v>614.68326073853541</v>
          </cell>
          <cell r="W166">
            <v>794.40637628616616</v>
          </cell>
          <cell r="X166">
            <v>0.67</v>
          </cell>
          <cell r="Y166">
            <v>238.62396854223243</v>
          </cell>
          <cell r="Z166">
            <v>422.87791893560177</v>
          </cell>
          <cell r="AA166">
            <v>518.02545069611222</v>
          </cell>
        </row>
        <row r="167">
          <cell r="B167" t="str">
            <v>2A</v>
          </cell>
          <cell r="C167">
            <v>2271.5</v>
          </cell>
          <cell r="D167">
            <v>0</v>
          </cell>
          <cell r="E167">
            <v>176.70255898380503</v>
          </cell>
          <cell r="F167">
            <v>206.9081246220623</v>
          </cell>
          <cell r="G167">
            <v>237.11369026031957</v>
          </cell>
          <cell r="H167">
            <v>15.102782819128635</v>
          </cell>
          <cell r="I167">
            <v>39.267235329734447</v>
          </cell>
          <cell r="J167">
            <v>83.06530550520749</v>
          </cell>
          <cell r="K167">
            <v>7.0000000000000007E-2</v>
          </cell>
          <cell r="L167">
            <v>0.19</v>
          </cell>
          <cell r="M167">
            <v>0.39</v>
          </cell>
          <cell r="N167">
            <v>0.9</v>
          </cell>
          <cell r="O167">
            <v>205.39784634014941</v>
          </cell>
          <cell r="P167">
            <v>246.17535995179674</v>
          </cell>
          <cell r="Q167">
            <v>305.07621294639841</v>
          </cell>
          <cell r="R167">
            <v>74.003635813730313</v>
          </cell>
          <cell r="S167">
            <v>122.33254083494194</v>
          </cell>
          <cell r="T167">
            <v>152.53810647319921</v>
          </cell>
          <cell r="U167">
            <v>226.54174228692952</v>
          </cell>
          <cell r="V167">
            <v>377.56957047821584</v>
          </cell>
          <cell r="W167">
            <v>468.18626739298765</v>
          </cell>
          <cell r="X167">
            <v>0.63</v>
          </cell>
          <cell r="Y167">
            <v>205.39784634014941</v>
          </cell>
          <cell r="Z167">
            <v>321.68927404743994</v>
          </cell>
          <cell r="AA167">
            <v>391.16207501543164</v>
          </cell>
        </row>
        <row r="168">
          <cell r="B168" t="str">
            <v>2B</v>
          </cell>
          <cell r="C168">
            <v>1975.5</v>
          </cell>
          <cell r="D168">
            <v>0</v>
          </cell>
          <cell r="E168">
            <v>151.02782819128635</v>
          </cell>
          <cell r="F168">
            <v>176.70255898380503</v>
          </cell>
          <cell r="G168">
            <v>205.39784634014941</v>
          </cell>
          <cell r="H168">
            <v>7.5513914095643173</v>
          </cell>
          <cell r="I168">
            <v>27.185009074431541</v>
          </cell>
          <cell r="J168">
            <v>58.900852994601671</v>
          </cell>
          <cell r="K168">
            <v>0.05</v>
          </cell>
          <cell r="L168">
            <v>0.16</v>
          </cell>
          <cell r="M168">
            <v>0.32</v>
          </cell>
          <cell r="N168">
            <v>0.85</v>
          </cell>
          <cell r="O168">
            <v>172.17172413806642</v>
          </cell>
          <cell r="P168">
            <v>205.39784634014941</v>
          </cell>
          <cell r="Q168">
            <v>250.70619479753532</v>
          </cell>
          <cell r="R168">
            <v>57.39057471268881</v>
          </cell>
          <cell r="S168">
            <v>99.678366606248986</v>
          </cell>
          <cell r="T168">
            <v>120.82226255302908</v>
          </cell>
          <cell r="U168">
            <v>178.21283726571789</v>
          </cell>
          <cell r="V168">
            <v>306.58649122831127</v>
          </cell>
          <cell r="W168">
            <v>371.52845735056439</v>
          </cell>
          <cell r="X168">
            <v>0.59</v>
          </cell>
          <cell r="Y168">
            <v>172.17172413806642</v>
          </cell>
          <cell r="Z168">
            <v>261.2781427709254</v>
          </cell>
          <cell r="AA168">
            <v>314.13788263787558</v>
          </cell>
        </row>
        <row r="169">
          <cell r="B169" t="str">
            <v>3A</v>
          </cell>
          <cell r="C169">
            <v>1719.5</v>
          </cell>
          <cell r="D169">
            <v>0</v>
          </cell>
          <cell r="E169">
            <v>132.90448880833199</v>
          </cell>
          <cell r="F169">
            <v>152.53810647319921</v>
          </cell>
          <cell r="G169">
            <v>176.70255898380503</v>
          </cell>
          <cell r="H169">
            <v>4.5308348457385907</v>
          </cell>
          <cell r="I169">
            <v>24.164452510605816</v>
          </cell>
          <cell r="J169">
            <v>45.308348457385904</v>
          </cell>
          <cell r="K169">
            <v>0.03</v>
          </cell>
          <cell r="L169">
            <v>0.16</v>
          </cell>
          <cell r="M169">
            <v>0.28999999999999998</v>
          </cell>
          <cell r="N169">
            <v>0.8</v>
          </cell>
          <cell r="O169">
            <v>146.49699334554776</v>
          </cell>
          <cell r="P169">
            <v>176.70255898380503</v>
          </cell>
          <cell r="Q169">
            <v>209.92868118588802</v>
          </cell>
          <cell r="R169">
            <v>36.246678765908726</v>
          </cell>
          <cell r="S169">
            <v>60.411131276514539</v>
          </cell>
          <cell r="T169">
            <v>74.003635813730313</v>
          </cell>
          <cell r="U169">
            <v>110.25031457963902</v>
          </cell>
          <cell r="V169">
            <v>187.27450695719506</v>
          </cell>
          <cell r="W169">
            <v>228.05202056884238</v>
          </cell>
          <cell r="X169">
            <v>0.55000000000000004</v>
          </cell>
          <cell r="Y169">
            <v>146.49699334554776</v>
          </cell>
          <cell r="Z169">
            <v>208.41840290397516</v>
          </cell>
          <cell r="AA169">
            <v>246.17535995179674</v>
          </cell>
        </row>
      </sheetData>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sheetData sheetId="86" refreshError="1"/>
      <sheetData sheetId="87" refreshError="1"/>
      <sheetData sheetId="88" refreshError="1"/>
      <sheetData sheetId="89" refreshError="1"/>
      <sheetData sheetId="90" refreshError="1"/>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4">
          <cell r="B4" t="str">
            <v>Work</v>
          </cell>
        </row>
      </sheetData>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ow r="4">
          <cell r="B4" t="str">
            <v>Work</v>
          </cell>
        </row>
      </sheetData>
      <sheetData sheetId="304"/>
      <sheetData sheetId="305"/>
      <sheetData sheetId="306"/>
      <sheetData sheetId="307" refreshError="1"/>
      <sheetData sheetId="308"/>
      <sheetData sheetId="309">
        <row r="4">
          <cell r="B4" t="str">
            <v>Work</v>
          </cell>
        </row>
      </sheetData>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4">
          <cell r="B4" t="str">
            <v>Work</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it"/>
      <sheetName val="Market data (by grade)"/>
      <sheetName val="interpol"/>
      <sheetName val="MERCADO"/>
      <sheetName val=" IOP2002 Expats Phased"/>
      <sheetName val="Sheet1"/>
      <sheetName val="interpolh"/>
      <sheetName val="Market_data_(by_grade)"/>
      <sheetName val="_IOP2002_Expats_Phased"/>
      <sheetName val="Market data (by grade) (Euros)"/>
      <sheetName val="Market_data_(by_grade)1"/>
      <sheetName val="_IOP2002_Expats_Phased1"/>
      <sheetName val="Market_data_(by_grade)_(Euros)"/>
      <sheetName val="Market_data_(by_grade)2"/>
      <sheetName val="_IOP2002_Expats_Phased2"/>
      <sheetName val="Market_data_(by_grade)_(Euros)1"/>
      <sheetName val="Market_data_(by_grade)4"/>
      <sheetName val="_IOP2002_Expats_Phased4"/>
      <sheetName val="Market_data_(by_grade)_(Euros)3"/>
      <sheetName val="Market_data_(by_grade)3"/>
      <sheetName val="_IOP2002_Expats_Phased3"/>
      <sheetName val="Market_data_(by_grade)_(Euros)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polh"/>
      <sheetName val="Market data (by grade) (Euros)"/>
      <sheetName val="Options"/>
      <sheetName val="interpol"/>
      <sheetName val="VB Ratio Table"/>
      <sheetName val="P10 working file VN 2010"/>
      <sheetName val="BKEOTO"/>
      <sheetName val="Market_data_(by_grade)_(Euros)"/>
      <sheetName val="VB_Ratio_Table"/>
      <sheetName val="gia vt,nc,may"/>
      <sheetName val="mcdo. gral. 98"/>
      <sheetName val="B.S"/>
      <sheetName val="P&amp;L- I-4y"/>
      <sheetName val="TH331_98.3310"/>
      <sheetName val="Market_data_(by_grade)_(Euros)1"/>
      <sheetName val="VB_Ratio_Table1"/>
      <sheetName val="Market data (by grade)"/>
      <sheetName val="Market_data_(by_grade)_(Euros)2"/>
      <sheetName val="VB_Ratio_Table2"/>
      <sheetName val="P10_working_file_VN_2010"/>
      <sheetName val="Market_data_(by_grade)"/>
      <sheetName val="Market_data_(by_grade)_(Euros)3"/>
      <sheetName val="VB_Ratio_Table3"/>
      <sheetName val="P10_working_file_VN_20101"/>
      <sheetName val="Market_data_(by_grade)1"/>
      <sheetName val="Market_data_(by_grade)_(Euros)5"/>
      <sheetName val="VB_Ratio_Table5"/>
      <sheetName val="P10_working_file_VN_20103"/>
      <sheetName val="gia_vt,nc,may1"/>
      <sheetName val="mcdo__gral__981"/>
      <sheetName val="B_S1"/>
      <sheetName val="P&amp;L-_I-4y1"/>
      <sheetName val="TH331_98_33101"/>
      <sheetName val="Market_data_(by_grade)3"/>
      <sheetName val="Market_data_(by_grade)_(Euros)4"/>
      <sheetName val="VB_Ratio_Table4"/>
      <sheetName val="P10_working_file_VN_20102"/>
      <sheetName val="gia_vt,nc,may"/>
      <sheetName val="mcdo__gral__98"/>
      <sheetName val="B_S"/>
      <sheetName val="P&amp;L-_I-4y"/>
      <sheetName val="TH331_98_3310"/>
      <sheetName val="Market_data_(by_grade)2"/>
    </sheetNames>
    <sheetDataSet>
      <sheetData sheetId="0" refreshError="1">
        <row r="1">
          <cell r="B1" t="str">
            <v>INTERPOLH</v>
          </cell>
        </row>
        <row r="2">
          <cell r="C2">
            <v>65</v>
          </cell>
        </row>
        <row r="3">
          <cell r="D3">
            <v>25</v>
          </cell>
        </row>
        <row r="4">
          <cell r="D4">
            <v>272.22532499116522</v>
          </cell>
        </row>
        <row r="5">
          <cell r="B5">
            <v>2</v>
          </cell>
        </row>
        <row r="8">
          <cell r="B8">
            <v>3</v>
          </cell>
        </row>
        <row r="9">
          <cell r="B9">
            <v>50</v>
          </cell>
        </row>
        <row r="10">
          <cell r="B10">
            <v>75</v>
          </cell>
        </row>
        <row r="11">
          <cell r="B11">
            <v>303.99531328894744</v>
          </cell>
        </row>
        <row r="12">
          <cell r="B12">
            <v>324.20474163444322</v>
          </cell>
        </row>
      </sheetData>
      <sheetData sheetId="1"/>
      <sheetData sheetId="2"/>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6"/>
      <sheetName val="27"/>
      <sheetName val="22"/>
      <sheetName val="20"/>
      <sheetName val="19"/>
      <sheetName val="18"/>
      <sheetName val="17"/>
      <sheetName val="16"/>
      <sheetName val="15"/>
      <sheetName val="13"/>
      <sheetName val="12"/>
      <sheetName val="11"/>
      <sheetName val="10"/>
      <sheetName val="9"/>
      <sheetName val="8"/>
      <sheetName val="7"/>
      <sheetName val="6"/>
      <sheetName val="5"/>
      <sheetName val="4"/>
      <sheetName val="3"/>
      <sheetName val="2"/>
      <sheetName val="1"/>
      <sheetName val="modèle 2 marchés"/>
      <sheetName val="base"/>
      <sheetName val="LAFARGE_SUP1400_2000"/>
      <sheetName val="Fr01"/>
      <sheetName val="COmpartio 200"/>
      <sheetName val="All 01"/>
      <sheetName val="USA01"/>
      <sheetName val="SudAf01"/>
      <sheetName val="Suède01"/>
      <sheetName val="Jap01"/>
      <sheetName val="Brésil01"/>
      <sheetName val="Véné01"/>
      <sheetName val="Esp01"/>
      <sheetName val="Italy01 "/>
      <sheetName val="interpol"/>
      <sheetName val="base (2)"/>
      <sheetName val="Méthodo"/>
      <sheetName val="Market data (by grade)"/>
      <sheetName val="B11"/>
      <sheetName val="2012-2H"/>
      <sheetName val="FG-chart"/>
      <sheetName val="Sheet1"/>
      <sheetName val="modèle_2_marchés"/>
      <sheetName val="COmpartio_200"/>
      <sheetName val="All_01"/>
      <sheetName val="Italy01_"/>
      <sheetName val="base_(2)"/>
      <sheetName val="Market_data_(by_grade)"/>
      <sheetName val="NEW-PANEL"/>
      <sheetName val="List"/>
      <sheetName val="modèle_2_marchés1"/>
      <sheetName val="COmpartio_2001"/>
      <sheetName val="All_011"/>
      <sheetName val="Italy01_1"/>
      <sheetName val="base_(2)1"/>
      <sheetName val="Market_data_(by_grade)1"/>
      <sheetName val="modèle_2_marchés2"/>
      <sheetName val="COmpartio_2002"/>
      <sheetName val="All_012"/>
      <sheetName val="Italy01_2"/>
      <sheetName val="base_(2)2"/>
      <sheetName val="Market_data_(by_grade)2"/>
      <sheetName val="modèle_2_marchés4"/>
      <sheetName val="COmpartio_2004"/>
      <sheetName val="All_014"/>
      <sheetName val="Italy01_4"/>
      <sheetName val="base_(2)4"/>
      <sheetName val="Market_data_(by_grade)4"/>
      <sheetName val="modèle_2_marchés3"/>
      <sheetName val="COmpartio_2003"/>
      <sheetName val="All_013"/>
      <sheetName val="Italy01_3"/>
      <sheetName val="base_(2)3"/>
      <sheetName val="Market_data_(by_grad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1">
          <cell r="B1" t="str">
            <v>INTERPOL</v>
          </cell>
        </row>
      </sheetData>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23 amountDA"/>
      <sheetName val="PaymentDA -FP w23"/>
      <sheetName val="Payment - culinary w23"/>
      <sheetName val="Sheet2"/>
      <sheetName val="Sheet1"/>
      <sheetName val="Salary Structure"/>
      <sheetName val="Target CR"/>
      <sheetName val="XNT"/>
      <sheetName val="W23_amountDA"/>
      <sheetName val="PaymentDA_-FP_w23"/>
      <sheetName val="Payment_-_culinary_w23"/>
      <sheetName val="Tasas"/>
      <sheetName val="interpolh"/>
      <sheetName val="W23_amountDA1"/>
      <sheetName val="PaymentDA_-FP_w231"/>
      <sheetName val="Payment_-_culinary_w231"/>
      <sheetName val="Salary_Structure"/>
      <sheetName val="Target_CR"/>
      <sheetName val="W23_amountDA2"/>
      <sheetName val="PaymentDA_-FP_w232"/>
      <sheetName val="Payment_-_culinary_w232"/>
      <sheetName val="Salary_Structure1"/>
      <sheetName val="Target_CR1"/>
    </sheetNames>
    <sheetDataSet>
      <sheetData sheetId="0" refreshError="1"/>
      <sheetData sheetId="1" refreshError="1"/>
      <sheetData sheetId="2" refreshError="1"/>
      <sheetData sheetId="3" refreshError="1"/>
      <sheetData sheetId="4">
        <row r="2">
          <cell r="C2" t="str">
            <v>SANKO_7</v>
          </cell>
        </row>
        <row r="3">
          <cell r="C3" t="str">
            <v>SANKO_26</v>
          </cell>
        </row>
        <row r="4">
          <cell r="C4" t="str">
            <v>SANKO_48</v>
          </cell>
        </row>
        <row r="5">
          <cell r="C5" t="str">
            <v>TOPACK34</v>
          </cell>
        </row>
        <row r="6">
          <cell r="C6" t="str">
            <v>SANKO_9</v>
          </cell>
        </row>
        <row r="7">
          <cell r="C7" t="str">
            <v>SANKO_11</v>
          </cell>
        </row>
        <row r="8">
          <cell r="C8" t="str">
            <v>Manual</v>
          </cell>
        </row>
        <row r="9">
          <cell r="C9" t="str">
            <v>REPACK</v>
          </cell>
        </row>
        <row r="10">
          <cell r="C10" t="str">
            <v>REPACK2</v>
          </cell>
        </row>
        <row r="11">
          <cell r="C11" t="str">
            <v>SAUCE6F OLD</v>
          </cell>
        </row>
        <row r="12">
          <cell r="C12" t="str">
            <v>SAUCE6F NEW</v>
          </cell>
        </row>
        <row r="13">
          <cell r="C13" t="str">
            <v>BOUMNL3</v>
          </cell>
        </row>
        <row r="14">
          <cell r="C14" t="str">
            <v>VOLPACK1</v>
          </cell>
        </row>
        <row r="15">
          <cell r="C15" t="str">
            <v>WOLF_2</v>
          </cell>
        </row>
        <row r="16">
          <cell r="C16" t="str">
            <v>WOLF_3</v>
          </cell>
        </row>
        <row r="17">
          <cell r="C17" t="str">
            <v>MESPACK1</v>
          </cell>
        </row>
        <row r="18">
          <cell r="C18" t="str">
            <v>MESPACK2</v>
          </cell>
        </row>
        <row r="19">
          <cell r="C19" t="str">
            <v>NALBACH</v>
          </cell>
        </row>
        <row r="20">
          <cell r="C20" t="str">
            <v>OLYMPIA2</v>
          </cell>
        </row>
        <row r="21">
          <cell r="C21" t="str">
            <v>SANKO_5</v>
          </cell>
        </row>
        <row r="22">
          <cell r="C22" t="str">
            <v>UNICLAN1</v>
          </cell>
        </row>
        <row r="23">
          <cell r="C23" t="str">
            <v>UNICLAN2</v>
          </cell>
        </row>
      </sheetData>
      <sheetData sheetId="5" refreshError="1"/>
      <sheetData sheetId="6" refreshError="1"/>
      <sheetData sheetId="7" refreshError="1"/>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24 amount HN "/>
      <sheetName val="OUTPUT  w24"/>
      <sheetName val="Unachievement plan"/>
      <sheetName val="Sheet1"/>
      <sheetName val="don gia"/>
      <sheetName val="Sheet2"/>
      <sheetName val="Sheet3"/>
      <sheetName val="interpolh"/>
    </sheetNames>
    <sheetDataSet>
      <sheetData sheetId="0" refreshError="1"/>
      <sheetData sheetId="1" refreshError="1"/>
      <sheetData sheetId="2" refreshError="1"/>
      <sheetData sheetId="3">
        <row r="2">
          <cell r="B2" t="str">
            <v>MESPACK1</v>
          </cell>
        </row>
        <row r="3">
          <cell r="B3" t="str">
            <v>MESPACK2</v>
          </cell>
        </row>
        <row r="4">
          <cell r="B4" t="str">
            <v>SANKO_26</v>
          </cell>
        </row>
        <row r="5">
          <cell r="B5" t="str">
            <v>SANKO_48</v>
          </cell>
        </row>
        <row r="6">
          <cell r="B6" t="str">
            <v>NALBACH</v>
          </cell>
        </row>
        <row r="7">
          <cell r="B7" t="str">
            <v>OLYMPIA2</v>
          </cell>
        </row>
        <row r="8">
          <cell r="B8" t="str">
            <v>SANKO_5</v>
          </cell>
        </row>
        <row r="9">
          <cell r="B9" t="str">
            <v>UNICLAN1</v>
          </cell>
        </row>
        <row r="10">
          <cell r="B10" t="str">
            <v>UNICLAN2</v>
          </cell>
        </row>
        <row r="11">
          <cell r="B11" t="str">
            <v>REPACK</v>
          </cell>
        </row>
      </sheetData>
      <sheetData sheetId="4" refreshError="1"/>
      <sheetData sheetId="5" refreshError="1"/>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1"/>
      <sheetName val="interpol"/>
      <sheetName val="Market data (by grade)"/>
      <sheetName val="Filières France"/>
      <sheetName val="doi chieu"/>
      <sheetName val="Custummer complaint"/>
      <sheetName val="Output Pay"/>
      <sheetName val="Headcount Pay"/>
      <sheetName val="Total Loss"/>
      <sheetName val="Total OEE"/>
      <sheetName val="Output Wafer"/>
      <sheetName val="Headcount"/>
      <sheetName val="BẢNG CÔNG"/>
      <sheetName val="sap"/>
      <sheetName val="Sheet3"/>
      <sheetName val="Affecte noms ds nuages pts"/>
    </sheetNames>
    <sheetDataSet>
      <sheetData sheetId="0" refreshError="1">
        <row r="12">
          <cell r="E12">
            <v>130</v>
          </cell>
        </row>
      </sheetData>
      <sheetData sheetId="1"/>
      <sheetData sheetId="2" refreshError="1"/>
      <sheetData sheetId="3">
        <row r="12">
          <cell r="E12">
            <v>88</v>
          </cell>
        </row>
      </sheetData>
      <sheetData sheetId="4">
        <row r="12">
          <cell r="E12">
            <v>88</v>
          </cell>
        </row>
      </sheetData>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1"/>
      <sheetName val="interpol"/>
      <sheetName val="doi chieu"/>
      <sheetName val="Custummer complaint"/>
      <sheetName val="Output Pay"/>
      <sheetName val="Headcount Pay"/>
      <sheetName val="Total Loss"/>
      <sheetName val="Total OEE"/>
      <sheetName val="Output Wafer"/>
      <sheetName val="Headcount"/>
      <sheetName val="BẢNG CÔNG"/>
      <sheetName val="sap"/>
      <sheetName val="Sheet3"/>
      <sheetName val="Market data (by grade)"/>
      <sheetName val="Filières France"/>
      <sheetName val="Makh"/>
      <sheetName val="Old coding (2)"/>
      <sheetName val="Marketing-Old"/>
      <sheetName val="Sheet1"/>
      <sheetName val="MRO-Facilities"/>
      <sheetName val="Sheet2"/>
      <sheetName val="Legal (Diem)"/>
      <sheetName val="SME"/>
      <sheetName val="Logistics-old"/>
      <sheetName val="Sheet4"/>
      <sheetName val="Sheet5"/>
      <sheetName val="Capex-Old"/>
      <sheetName val="Sheet6"/>
      <sheetName val="cooler (2)"/>
      <sheetName val="Others"/>
      <sheetName val="Instrucciones!"/>
      <sheetName val="MERCADO"/>
      <sheetName val="doi_chieu"/>
      <sheetName val="Custummer_complaint"/>
      <sheetName val="Output_Pay"/>
      <sheetName val="Headcount_Pay"/>
      <sheetName val="Total_Loss"/>
      <sheetName val="Total_OEE"/>
      <sheetName val="Output_Wafer"/>
      <sheetName val="BẢNG_CÔNG"/>
      <sheetName val="Market_data_(by_grade)"/>
      <sheetName val="Filières_France"/>
      <sheetName val="doi_chieu1"/>
      <sheetName val="Custummer_complaint1"/>
      <sheetName val="Output_Pay1"/>
      <sheetName val="Headcount_Pay1"/>
      <sheetName val="Total_Loss1"/>
      <sheetName val="Total_OEE1"/>
      <sheetName val="Output_Wafer1"/>
      <sheetName val="BẢNG_CÔNG1"/>
      <sheetName val="Market_data_(by_grade)1"/>
      <sheetName val="Filières_France1"/>
      <sheetName val="Old_coding_(2)"/>
      <sheetName val="Legal_(Diem)"/>
      <sheetName val="cooler_(2)"/>
      <sheetName val="doi_chieu2"/>
      <sheetName val="Custummer_complaint2"/>
      <sheetName val="Output_Pay2"/>
      <sheetName val="Headcount_Pay2"/>
      <sheetName val="Total_Loss2"/>
      <sheetName val="Total_OEE2"/>
      <sheetName val="Output_Wafer2"/>
      <sheetName val="BẢNG_CÔNG2"/>
      <sheetName val="Market_data_(by_grade)2"/>
      <sheetName val="Filières_France2"/>
      <sheetName val="Old_coding_(2)1"/>
      <sheetName val="Legal_(Diem)1"/>
      <sheetName val="cooler_(2)1"/>
      <sheetName val="doi_chieu3"/>
      <sheetName val="Custummer_complaint3"/>
      <sheetName val="Output_Pay3"/>
      <sheetName val="Headcount_Pay3"/>
      <sheetName val="Total_Loss3"/>
      <sheetName val="Total_OEE3"/>
      <sheetName val="Output_Wafer3"/>
      <sheetName val="BẢNG_CÔNG3"/>
      <sheetName val="Market_data_(by_grade)3"/>
      <sheetName val="Filières_France3"/>
      <sheetName val="Old_coding_(2)2"/>
      <sheetName val="Legal_(Diem)2"/>
      <sheetName val="cooler_(2)2"/>
      <sheetName val="BKEOTO"/>
    </sheetNames>
    <sheetDataSet>
      <sheetData sheetId="0" refreshError="1">
        <row r="12">
          <cell r="E12">
            <v>130</v>
          </cell>
        </row>
      </sheetData>
      <sheetData sheetId="1" refreshError="1"/>
      <sheetData sheetId="2">
        <row r="12">
          <cell r="E12">
            <v>88</v>
          </cell>
        </row>
      </sheetData>
      <sheetData sheetId="3"/>
      <sheetData sheetId="4">
        <row r="12">
          <cell r="E12">
            <v>88</v>
          </cell>
        </row>
      </sheetData>
      <sheetData sheetId="5"/>
      <sheetData sheetId="6"/>
      <sheetData sheetId="7"/>
      <sheetData sheetId="8"/>
      <sheetData sheetId="9"/>
      <sheetData sheetId="10"/>
      <sheetData sheetId="11"/>
      <sheetData sheetId="12"/>
      <sheetData sheetId="13" refreshError="1"/>
      <sheetData sheetId="14">
        <row r="12">
          <cell r="E12">
            <v>88</v>
          </cell>
        </row>
      </sheetData>
      <sheetData sheetId="15" refreshError="1"/>
      <sheetData sheetId="16">
        <row r="12">
          <cell r="E12" t="str">
            <v>001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ow r="12">
          <cell r="E12">
            <v>88</v>
          </cell>
        </row>
      </sheetData>
      <sheetData sheetId="33"/>
      <sheetData sheetId="34"/>
      <sheetData sheetId="35"/>
      <sheetData sheetId="36"/>
      <sheetData sheetId="37"/>
      <sheetData sheetId="38"/>
      <sheetData sheetId="39"/>
      <sheetData sheetId="40"/>
      <sheetData sheetId="41">
        <row r="12">
          <cell r="E12">
            <v>88</v>
          </cell>
        </row>
      </sheetData>
      <sheetData sheetId="42">
        <row r="12">
          <cell r="E12">
            <v>88</v>
          </cell>
        </row>
      </sheetData>
      <sheetData sheetId="43"/>
      <sheetData sheetId="44">
        <row r="12">
          <cell r="E12">
            <v>88</v>
          </cell>
        </row>
      </sheetData>
      <sheetData sheetId="45"/>
      <sheetData sheetId="46"/>
      <sheetData sheetId="47"/>
      <sheetData sheetId="48"/>
      <sheetData sheetId="49"/>
      <sheetData sheetId="50"/>
      <sheetData sheetId="51">
        <row r="12">
          <cell r="E12">
            <v>88</v>
          </cell>
        </row>
      </sheetData>
      <sheetData sheetId="52">
        <row r="12">
          <cell r="E12" t="str">
            <v>001</v>
          </cell>
        </row>
      </sheetData>
      <sheetData sheetId="53"/>
      <sheetData sheetId="54"/>
      <sheetData sheetId="55">
        <row r="12">
          <cell r="E12">
            <v>88</v>
          </cell>
        </row>
      </sheetData>
      <sheetData sheetId="56"/>
      <sheetData sheetId="57">
        <row r="12">
          <cell r="E12">
            <v>88</v>
          </cell>
        </row>
      </sheetData>
      <sheetData sheetId="58"/>
      <sheetData sheetId="59"/>
      <sheetData sheetId="60"/>
      <sheetData sheetId="61"/>
      <sheetData sheetId="62"/>
      <sheetData sheetId="63"/>
      <sheetData sheetId="64">
        <row r="12">
          <cell r="E12">
            <v>88</v>
          </cell>
        </row>
      </sheetData>
      <sheetData sheetId="65">
        <row r="12">
          <cell r="E12" t="str">
            <v>001</v>
          </cell>
        </row>
      </sheetData>
      <sheetData sheetId="66"/>
      <sheetData sheetId="67"/>
      <sheetData sheetId="68">
        <row r="12">
          <cell r="E12">
            <v>88</v>
          </cell>
        </row>
      </sheetData>
      <sheetData sheetId="69"/>
      <sheetData sheetId="70">
        <row r="12">
          <cell r="E12">
            <v>88</v>
          </cell>
        </row>
      </sheetData>
      <sheetData sheetId="71"/>
      <sheetData sheetId="72"/>
      <sheetData sheetId="73"/>
      <sheetData sheetId="74"/>
      <sheetData sheetId="75"/>
      <sheetData sheetId="76"/>
      <sheetData sheetId="77">
        <row r="12">
          <cell r="E12">
            <v>88</v>
          </cell>
        </row>
      </sheetData>
      <sheetData sheetId="78">
        <row r="12">
          <cell r="E12" t="str">
            <v>001</v>
          </cell>
        </row>
      </sheetData>
      <sheetData sheetId="79"/>
      <sheetData sheetId="80"/>
      <sheetData sheetId="8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KU"/>
      <sheetName val="RM"/>
      <sheetName val="PM"/>
      <sheetName val="PC_LB"/>
      <sheetName val="PG_LB"/>
      <sheetName val="LAY-Small"/>
      <sheetName val="LAY-Medium"/>
      <sheetName val="LAY(old)"/>
      <sheetName val="LAY-Classic"/>
      <sheetName val="LAY-Rock"/>
      <sheetName val="LAY-Smile"/>
      <sheetName val="LAY-MIB"/>
      <sheetName val="LAY-C-Proj"/>
      <sheetName val="LAY-R-Proj"/>
      <sheetName val="FCP"/>
      <sheetName val="BCP"/>
      <sheetName val="Twisties"/>
      <sheetName val="3D's_Corn"/>
      <sheetName val="3D's_Perf"/>
      <sheetName val="Tawan"/>
      <sheetName val="Big Ben"/>
      <sheetName val="Big Ben (2)"/>
      <sheetName val="pellet_corn"/>
      <sheetName val="pellet_perf"/>
      <sheetName val="pellet_2D"/>
      <sheetName val="pellet_BigBen"/>
      <sheetName val="pellet_Cartoon"/>
      <sheetName val="Fuji"/>
      <sheetName val="Fuji (2)"/>
      <sheetName val="Soccer"/>
      <sheetName val="Soccer Shape1"/>
      <sheetName val="Soccer Shape2"/>
    </sheetNames>
    <sheetDataSet>
      <sheetData sheetId="0"/>
      <sheetData sheetId="1" refreshError="1">
        <row r="4">
          <cell r="A4">
            <v>11000</v>
          </cell>
          <cell r="B4" t="str">
            <v>Lay's Rock</v>
          </cell>
        </row>
        <row r="5">
          <cell r="A5">
            <v>11001</v>
          </cell>
          <cell r="B5" t="str">
            <v>Lay's Rock</v>
          </cell>
          <cell r="C5" t="str">
            <v>6 B  / 18g</v>
          </cell>
          <cell r="D5">
            <v>18</v>
          </cell>
          <cell r="E5">
            <v>120</v>
          </cell>
          <cell r="F5" t="str">
            <v xml:space="preserve">6 </v>
          </cell>
          <cell r="G5">
            <v>0.16669999999999999</v>
          </cell>
          <cell r="H5">
            <v>560.73</v>
          </cell>
          <cell r="I5">
            <v>29.7</v>
          </cell>
          <cell r="J5">
            <v>6.2</v>
          </cell>
          <cell r="K5">
            <v>15.1</v>
          </cell>
          <cell r="L5">
            <v>0.80735694257485757</v>
          </cell>
          <cell r="M5">
            <v>5.1999999999999998E-2</v>
          </cell>
          <cell r="N5">
            <v>2.5054097125782005E-3</v>
          </cell>
          <cell r="O5">
            <v>0</v>
          </cell>
          <cell r="P5">
            <v>7.0000000000000007E-2</v>
          </cell>
          <cell r="Q5">
            <v>5.1999999999999998E-2</v>
          </cell>
          <cell r="R5">
            <v>8.9999999999999993E-3</v>
          </cell>
          <cell r="S5">
            <v>3.3000000000000002E-2</v>
          </cell>
        </row>
        <row r="6">
          <cell r="A6">
            <v>11002</v>
          </cell>
          <cell r="B6" t="str">
            <v>Lay's Rock</v>
          </cell>
          <cell r="C6" t="str">
            <v>20 B / 66g</v>
          </cell>
          <cell r="D6">
            <v>66</v>
          </cell>
          <cell r="E6">
            <v>48</v>
          </cell>
          <cell r="F6" t="str">
            <v>20</v>
          </cell>
          <cell r="G6">
            <v>0.14169999999999999</v>
          </cell>
          <cell r="H6">
            <v>770.06</v>
          </cell>
          <cell r="I6">
            <v>29.7</v>
          </cell>
          <cell r="J6">
            <v>6.2</v>
          </cell>
          <cell r="K6">
            <v>15.1</v>
          </cell>
          <cell r="L6">
            <v>0.80735694257485757</v>
          </cell>
          <cell r="M6">
            <v>5.1999999999999998E-2</v>
          </cell>
          <cell r="N6">
            <v>2.5054097125782005E-3</v>
          </cell>
          <cell r="O6">
            <v>0</v>
          </cell>
          <cell r="P6">
            <v>7.0000000000000007E-2</v>
          </cell>
          <cell r="Q6">
            <v>4.2999999999999997E-2</v>
          </cell>
          <cell r="R6">
            <v>0.05</v>
          </cell>
          <cell r="S6">
            <v>0.03</v>
          </cell>
        </row>
        <row r="7">
          <cell r="A7">
            <v>11003</v>
          </cell>
          <cell r="B7" t="str">
            <v>Lay's Rock</v>
          </cell>
          <cell r="C7" t="str">
            <v>30 B / 100g</v>
          </cell>
          <cell r="D7">
            <v>100</v>
          </cell>
          <cell r="E7">
            <v>24</v>
          </cell>
          <cell r="F7" t="str">
            <v>30</v>
          </cell>
          <cell r="G7">
            <v>0.1</v>
          </cell>
          <cell r="H7">
            <v>605.61</v>
          </cell>
          <cell r="I7">
            <v>29.7</v>
          </cell>
          <cell r="J7">
            <v>6.2</v>
          </cell>
          <cell r="K7">
            <v>15.1</v>
          </cell>
          <cell r="L7">
            <v>0.80735694257485757</v>
          </cell>
          <cell r="M7">
            <v>5.1999999999999998E-2</v>
          </cell>
          <cell r="N7">
            <v>2.5054097125782005E-3</v>
          </cell>
          <cell r="O7">
            <v>0</v>
          </cell>
          <cell r="P7">
            <v>7.0000000000000007E-2</v>
          </cell>
          <cell r="Q7">
            <v>2.5999999999999999E-2</v>
          </cell>
          <cell r="R7">
            <v>0.108</v>
          </cell>
          <cell r="S7">
            <v>0.01</v>
          </cell>
        </row>
        <row r="8">
          <cell r="A8">
            <v>11004</v>
          </cell>
          <cell r="B8" t="str">
            <v>Lay's Rock</v>
          </cell>
          <cell r="C8" t="str">
            <v>42 B / 150g</v>
          </cell>
          <cell r="D8">
            <v>150</v>
          </cell>
          <cell r="E8">
            <v>18</v>
          </cell>
          <cell r="F8" t="str">
            <v>42</v>
          </cell>
          <cell r="G8">
            <v>0.1</v>
          </cell>
          <cell r="H8">
            <v>635.89</v>
          </cell>
          <cell r="I8">
            <v>29.7</v>
          </cell>
          <cell r="J8">
            <v>6.2</v>
          </cell>
          <cell r="K8">
            <v>15.1</v>
          </cell>
          <cell r="L8">
            <v>0.80735694257485757</v>
          </cell>
          <cell r="M8">
            <v>5.1999999999999998E-2</v>
          </cell>
          <cell r="N8">
            <v>2.5054097125782005E-3</v>
          </cell>
          <cell r="O8">
            <v>0</v>
          </cell>
          <cell r="P8">
            <v>7.0000000000000007E-2</v>
          </cell>
          <cell r="Q8">
            <v>0.08</v>
          </cell>
          <cell r="R8">
            <v>3.3000000000000002E-2</v>
          </cell>
          <cell r="S8">
            <v>1.2999999999999999E-2</v>
          </cell>
        </row>
        <row r="9">
          <cell r="A9">
            <v>11005</v>
          </cell>
          <cell r="B9" t="str">
            <v>Lay's Rock</v>
          </cell>
          <cell r="C9" t="str">
            <v>6 B / 21g</v>
          </cell>
          <cell r="D9">
            <v>21</v>
          </cell>
          <cell r="E9">
            <v>120</v>
          </cell>
          <cell r="F9" t="str">
            <v xml:space="preserve">6 </v>
          </cell>
          <cell r="G9">
            <v>0.16669999999999999</v>
          </cell>
          <cell r="H9">
            <v>560.73</v>
          </cell>
          <cell r="I9">
            <v>29.7</v>
          </cell>
          <cell r="J9">
            <v>6.2</v>
          </cell>
          <cell r="K9">
            <v>15.1</v>
          </cell>
          <cell r="L9">
            <v>0.80735694257485757</v>
          </cell>
          <cell r="M9">
            <v>5.1999999999999998E-2</v>
          </cell>
          <cell r="N9">
            <v>2.5054097125782005E-3</v>
          </cell>
          <cell r="O9">
            <v>0</v>
          </cell>
          <cell r="P9">
            <v>7.0000000000000007E-2</v>
          </cell>
          <cell r="Q9">
            <v>5.1999999999999998E-2</v>
          </cell>
          <cell r="R9">
            <v>8.9999999999999993E-3</v>
          </cell>
          <cell r="S9">
            <v>3.3000000000000002E-2</v>
          </cell>
        </row>
        <row r="10">
          <cell r="A10">
            <v>11006</v>
          </cell>
          <cell r="B10" t="str">
            <v>Lay's Rock</v>
          </cell>
          <cell r="C10" t="str">
            <v>20 B / 72g</v>
          </cell>
          <cell r="D10">
            <v>72</v>
          </cell>
          <cell r="E10">
            <v>48</v>
          </cell>
          <cell r="F10" t="str">
            <v>20</v>
          </cell>
          <cell r="G10">
            <v>0.14169999999999999</v>
          </cell>
          <cell r="H10">
            <v>770.06</v>
          </cell>
          <cell r="I10">
            <v>29.7</v>
          </cell>
          <cell r="J10">
            <v>6.2</v>
          </cell>
          <cell r="K10">
            <v>15.1</v>
          </cell>
          <cell r="L10">
            <v>0.80735694257485757</v>
          </cell>
          <cell r="M10">
            <v>5.1999999999999998E-2</v>
          </cell>
          <cell r="N10">
            <v>2.5054097125782005E-3</v>
          </cell>
          <cell r="O10">
            <v>0</v>
          </cell>
          <cell r="P10">
            <v>7.0000000000000007E-2</v>
          </cell>
          <cell r="Q10">
            <v>4.2999999999999997E-2</v>
          </cell>
          <cell r="R10">
            <v>0.05</v>
          </cell>
          <cell r="S10">
            <v>0.03</v>
          </cell>
        </row>
        <row r="11">
          <cell r="A11">
            <v>11007</v>
          </cell>
          <cell r="B11" t="str">
            <v>Lay's Rock</v>
          </cell>
          <cell r="C11" t="str">
            <v>6 B / 20g</v>
          </cell>
          <cell r="D11">
            <v>20</v>
          </cell>
          <cell r="E11">
            <v>120</v>
          </cell>
          <cell r="F11" t="str">
            <v xml:space="preserve">6 </v>
          </cell>
          <cell r="G11">
            <v>0.16669999999999999</v>
          </cell>
          <cell r="H11">
            <v>560.73</v>
          </cell>
          <cell r="I11">
            <v>29.7</v>
          </cell>
          <cell r="J11">
            <v>6.2</v>
          </cell>
          <cell r="K11">
            <v>15.1</v>
          </cell>
          <cell r="L11">
            <v>0.80735694257485757</v>
          </cell>
          <cell r="M11">
            <v>5.1999999999999998E-2</v>
          </cell>
          <cell r="N11">
            <v>2.5054097125782005E-3</v>
          </cell>
          <cell r="O11">
            <v>0</v>
          </cell>
          <cell r="P11">
            <v>7.0000000000000007E-2</v>
          </cell>
          <cell r="Q11">
            <v>5.1999999999999998E-2</v>
          </cell>
          <cell r="R11">
            <v>8.9999999999999993E-3</v>
          </cell>
          <cell r="S11">
            <v>3.3000000000000002E-2</v>
          </cell>
        </row>
        <row r="12">
          <cell r="A12">
            <v>11010</v>
          </cell>
          <cell r="B12" t="str">
            <v>Lay's Rock</v>
          </cell>
          <cell r="C12" t="str">
            <v>6 B / 24g</v>
          </cell>
          <cell r="D12">
            <v>24</v>
          </cell>
          <cell r="E12">
            <v>120</v>
          </cell>
          <cell r="F12" t="str">
            <v xml:space="preserve">6 </v>
          </cell>
          <cell r="G12">
            <v>0.16669999999999999</v>
          </cell>
          <cell r="H12">
            <v>560.73</v>
          </cell>
          <cell r="I12">
            <v>29.7</v>
          </cell>
          <cell r="J12">
            <v>6.2</v>
          </cell>
          <cell r="K12">
            <v>15.1</v>
          </cell>
          <cell r="L12">
            <v>0.80735694257485757</v>
          </cell>
          <cell r="M12">
            <v>5.1999999999999998E-2</v>
          </cell>
          <cell r="N12">
            <v>2.5054097125782005E-3</v>
          </cell>
          <cell r="O12">
            <v>0</v>
          </cell>
          <cell r="P12">
            <v>7.0000000000000007E-2</v>
          </cell>
          <cell r="Q12">
            <v>5.1999999999999998E-2</v>
          </cell>
          <cell r="R12">
            <v>8.9999999999999993E-3</v>
          </cell>
          <cell r="S12">
            <v>3.3000000000000002E-2</v>
          </cell>
        </row>
        <row r="13">
          <cell r="A13">
            <v>11011</v>
          </cell>
          <cell r="B13" t="str">
            <v>Lay's Rock</v>
          </cell>
          <cell r="C13" t="str">
            <v>20 B / 80g</v>
          </cell>
          <cell r="D13">
            <v>80</v>
          </cell>
          <cell r="E13">
            <v>48</v>
          </cell>
          <cell r="F13" t="str">
            <v>20</v>
          </cell>
          <cell r="G13">
            <v>0.14169999999999999</v>
          </cell>
          <cell r="H13">
            <v>770.06</v>
          </cell>
          <cell r="I13">
            <v>29.7</v>
          </cell>
          <cell r="J13">
            <v>6.2</v>
          </cell>
          <cell r="K13">
            <v>15.1</v>
          </cell>
          <cell r="L13">
            <v>0.80735694257485757</v>
          </cell>
          <cell r="M13">
            <v>5.1999999999999998E-2</v>
          </cell>
          <cell r="N13">
            <v>2.5054097125782005E-3</v>
          </cell>
          <cell r="O13">
            <v>0</v>
          </cell>
          <cell r="P13">
            <v>7.0000000000000007E-2</v>
          </cell>
          <cell r="Q13">
            <v>4.2999999999999997E-2</v>
          </cell>
          <cell r="R13">
            <v>0.05</v>
          </cell>
          <cell r="S13">
            <v>0.03</v>
          </cell>
        </row>
        <row r="14">
          <cell r="A14">
            <v>11012</v>
          </cell>
          <cell r="B14" t="str">
            <v>Lay's Rock</v>
          </cell>
          <cell r="C14" t="str">
            <v>30 B / 120g</v>
          </cell>
          <cell r="D14">
            <v>120</v>
          </cell>
          <cell r="E14">
            <v>24</v>
          </cell>
          <cell r="F14" t="str">
            <v>30</v>
          </cell>
          <cell r="G14">
            <v>0.1</v>
          </cell>
          <cell r="H14">
            <v>605.61</v>
          </cell>
          <cell r="I14">
            <v>29.7</v>
          </cell>
          <cell r="J14">
            <v>6.2</v>
          </cell>
          <cell r="K14">
            <v>15.1</v>
          </cell>
          <cell r="L14">
            <v>0.80735694257485757</v>
          </cell>
          <cell r="M14">
            <v>5.1999999999999998E-2</v>
          </cell>
          <cell r="N14">
            <v>2.5054097125782005E-3</v>
          </cell>
          <cell r="O14">
            <v>0</v>
          </cell>
          <cell r="P14">
            <v>7.0000000000000007E-2</v>
          </cell>
          <cell r="Q14">
            <v>2.5999999999999999E-2</v>
          </cell>
          <cell r="R14">
            <v>0.108</v>
          </cell>
          <cell r="S14">
            <v>0.01</v>
          </cell>
        </row>
        <row r="15">
          <cell r="A15">
            <v>11013</v>
          </cell>
          <cell r="B15" t="str">
            <v>Lay's Rock</v>
          </cell>
          <cell r="C15" t="str">
            <v>45 B / 150g</v>
          </cell>
          <cell r="D15">
            <v>150</v>
          </cell>
          <cell r="E15">
            <v>18</v>
          </cell>
          <cell r="F15" t="str">
            <v>45</v>
          </cell>
          <cell r="G15">
            <v>0.1</v>
          </cell>
          <cell r="H15">
            <v>681.31</v>
          </cell>
          <cell r="I15">
            <v>29.7</v>
          </cell>
          <cell r="J15">
            <v>6.2</v>
          </cell>
          <cell r="K15">
            <v>15.1</v>
          </cell>
          <cell r="L15">
            <v>0.80735694257485757</v>
          </cell>
          <cell r="M15">
            <v>5.1999999999999998E-2</v>
          </cell>
          <cell r="N15">
            <v>2.5054097125782005E-3</v>
          </cell>
          <cell r="O15">
            <v>0</v>
          </cell>
          <cell r="P15">
            <v>7.0000000000000007E-2</v>
          </cell>
          <cell r="Q15">
            <v>0.08</v>
          </cell>
          <cell r="R15">
            <v>3.3000000000000002E-2</v>
          </cell>
          <cell r="S15">
            <v>1.2999999999999999E-2</v>
          </cell>
        </row>
        <row r="16">
          <cell r="A16">
            <v>11014</v>
          </cell>
          <cell r="B16" t="str">
            <v>Lay's Rock</v>
          </cell>
          <cell r="C16" t="str">
            <v>30 B / 96g</v>
          </cell>
          <cell r="D16">
            <v>96</v>
          </cell>
          <cell r="E16">
            <v>24</v>
          </cell>
          <cell r="F16" t="str">
            <v>30</v>
          </cell>
          <cell r="G16">
            <v>0.1</v>
          </cell>
          <cell r="H16">
            <v>605.61</v>
          </cell>
          <cell r="I16">
            <v>29.7</v>
          </cell>
          <cell r="J16">
            <v>6.2</v>
          </cell>
          <cell r="K16">
            <v>15.1</v>
          </cell>
          <cell r="L16">
            <v>0.80735694257485757</v>
          </cell>
          <cell r="M16">
            <v>5.1999999999999998E-2</v>
          </cell>
          <cell r="N16">
            <v>2.5054097125782005E-3</v>
          </cell>
          <cell r="O16">
            <v>0</v>
          </cell>
          <cell r="P16">
            <v>7.0000000000000007E-2</v>
          </cell>
          <cell r="Q16">
            <v>2.5999999999999999E-2</v>
          </cell>
          <cell r="R16">
            <v>0.108</v>
          </cell>
          <cell r="S16">
            <v>0.01</v>
          </cell>
        </row>
        <row r="17">
          <cell r="A17">
            <v>12000</v>
          </cell>
          <cell r="B17" t="str">
            <v>Lay's Clsssic</v>
          </cell>
        </row>
        <row r="18">
          <cell r="A18">
            <v>12001</v>
          </cell>
          <cell r="B18" t="str">
            <v>Lay's Clsssic</v>
          </cell>
          <cell r="C18" t="str">
            <v>6 B / 18g</v>
          </cell>
          <cell r="D18">
            <v>18</v>
          </cell>
          <cell r="E18">
            <v>120</v>
          </cell>
          <cell r="F18" t="str">
            <v xml:space="preserve">6 </v>
          </cell>
          <cell r="G18">
            <v>0.16669999999999999</v>
          </cell>
          <cell r="H18">
            <v>560.73</v>
          </cell>
          <cell r="I18">
            <v>29.7</v>
          </cell>
          <cell r="J18">
            <v>6.2</v>
          </cell>
          <cell r="K18">
            <v>15.1</v>
          </cell>
          <cell r="L18">
            <v>0.80735694257485757</v>
          </cell>
          <cell r="M18">
            <v>5.1999999999999998E-2</v>
          </cell>
          <cell r="N18">
            <v>2.5054097125782005E-3</v>
          </cell>
          <cell r="O18">
            <v>0</v>
          </cell>
          <cell r="P18">
            <v>7.0000000000000007E-2</v>
          </cell>
          <cell r="Q18">
            <v>5.1999999999999998E-2</v>
          </cell>
          <cell r="R18">
            <v>8.9999999999999993E-3</v>
          </cell>
          <cell r="S18">
            <v>3.3000000000000002E-2</v>
          </cell>
        </row>
        <row r="19">
          <cell r="A19">
            <v>12002</v>
          </cell>
          <cell r="B19" t="str">
            <v>Lay's Clsssic</v>
          </cell>
          <cell r="C19" t="str">
            <v>20 B / 66g</v>
          </cell>
          <cell r="D19">
            <v>66</v>
          </cell>
          <cell r="E19">
            <v>48</v>
          </cell>
          <cell r="F19" t="str">
            <v>20</v>
          </cell>
          <cell r="G19">
            <v>0.14169999999999999</v>
          </cell>
          <cell r="H19">
            <v>770.06</v>
          </cell>
          <cell r="I19">
            <v>29.7</v>
          </cell>
          <cell r="J19">
            <v>6.2</v>
          </cell>
          <cell r="K19">
            <v>15.1</v>
          </cell>
          <cell r="L19">
            <v>0.80735694257485757</v>
          </cell>
          <cell r="M19">
            <v>5.1999999999999998E-2</v>
          </cell>
          <cell r="N19">
            <v>2.5054097125782005E-3</v>
          </cell>
          <cell r="O19">
            <v>0</v>
          </cell>
          <cell r="P19">
            <v>7.0000000000000007E-2</v>
          </cell>
          <cell r="Q19">
            <v>4.2999999999999997E-2</v>
          </cell>
          <cell r="R19">
            <v>0.05</v>
          </cell>
          <cell r="S19">
            <v>0.03</v>
          </cell>
        </row>
        <row r="20">
          <cell r="A20">
            <v>12003</v>
          </cell>
          <cell r="B20" t="str">
            <v>Lay's Clsssic</v>
          </cell>
          <cell r="C20" t="str">
            <v>30 B / 100g</v>
          </cell>
          <cell r="D20">
            <v>100</v>
          </cell>
          <cell r="E20">
            <v>24</v>
          </cell>
          <cell r="F20" t="str">
            <v>30</v>
          </cell>
          <cell r="G20">
            <v>0.1</v>
          </cell>
          <cell r="H20">
            <v>605.61</v>
          </cell>
          <cell r="I20">
            <v>29.7</v>
          </cell>
          <cell r="J20">
            <v>6.2</v>
          </cell>
          <cell r="K20">
            <v>15.1</v>
          </cell>
          <cell r="L20">
            <v>0.80735694257485757</v>
          </cell>
          <cell r="M20">
            <v>5.1999999999999998E-2</v>
          </cell>
          <cell r="N20">
            <v>2.5054097125782005E-3</v>
          </cell>
          <cell r="O20">
            <v>0</v>
          </cell>
          <cell r="P20">
            <v>7.0000000000000007E-2</v>
          </cell>
          <cell r="Q20">
            <v>2.5999999999999999E-2</v>
          </cell>
          <cell r="R20">
            <v>0.108</v>
          </cell>
          <cell r="S20">
            <v>0.01</v>
          </cell>
        </row>
        <row r="21">
          <cell r="A21">
            <v>12004</v>
          </cell>
          <cell r="B21" t="str">
            <v>Lay's Clsssic</v>
          </cell>
          <cell r="C21" t="str">
            <v>42 B / 150g</v>
          </cell>
          <cell r="D21">
            <v>150</v>
          </cell>
          <cell r="E21">
            <v>18</v>
          </cell>
          <cell r="F21" t="str">
            <v>42</v>
          </cell>
          <cell r="G21">
            <v>0.1</v>
          </cell>
          <cell r="H21">
            <v>635.89</v>
          </cell>
          <cell r="I21">
            <v>29.7</v>
          </cell>
          <cell r="J21">
            <v>6.2</v>
          </cell>
          <cell r="K21">
            <v>15.1</v>
          </cell>
          <cell r="L21">
            <v>0.80735694257485757</v>
          </cell>
          <cell r="M21">
            <v>5.1999999999999998E-2</v>
          </cell>
          <cell r="N21">
            <v>2.5054097125782005E-3</v>
          </cell>
          <cell r="O21">
            <v>0</v>
          </cell>
          <cell r="P21">
            <v>7.0000000000000007E-2</v>
          </cell>
          <cell r="Q21">
            <v>0.08</v>
          </cell>
          <cell r="R21">
            <v>3.3000000000000002E-2</v>
          </cell>
          <cell r="S21">
            <v>1.2999999999999999E-2</v>
          </cell>
        </row>
        <row r="22">
          <cell r="A22">
            <v>12005</v>
          </cell>
          <cell r="B22" t="str">
            <v>Lay's Clsssic</v>
          </cell>
          <cell r="C22" t="str">
            <v>6 B / 21g</v>
          </cell>
          <cell r="D22">
            <v>21</v>
          </cell>
          <cell r="E22">
            <v>120</v>
          </cell>
          <cell r="F22" t="str">
            <v xml:space="preserve">6 </v>
          </cell>
          <cell r="G22">
            <v>0.16669999999999999</v>
          </cell>
          <cell r="H22">
            <v>560.73</v>
          </cell>
          <cell r="I22">
            <v>29.7</v>
          </cell>
          <cell r="J22">
            <v>6.2</v>
          </cell>
          <cell r="K22">
            <v>15.1</v>
          </cell>
          <cell r="L22">
            <v>0.80735694257485757</v>
          </cell>
          <cell r="M22">
            <v>5.1999999999999998E-2</v>
          </cell>
          <cell r="N22">
            <v>2.5054097125782005E-3</v>
          </cell>
          <cell r="O22">
            <v>0</v>
          </cell>
          <cell r="P22">
            <v>7.0000000000000007E-2</v>
          </cell>
          <cell r="Q22">
            <v>5.1999999999999998E-2</v>
          </cell>
          <cell r="R22">
            <v>8.9999999999999993E-3</v>
          </cell>
          <cell r="S22">
            <v>3.3000000000000002E-2</v>
          </cell>
        </row>
        <row r="23">
          <cell r="A23">
            <v>12006</v>
          </cell>
          <cell r="B23" t="str">
            <v>Lay's Clsssic</v>
          </cell>
          <cell r="C23" t="str">
            <v>20 B / 72g</v>
          </cell>
          <cell r="D23">
            <v>72</v>
          </cell>
          <cell r="E23">
            <v>48</v>
          </cell>
          <cell r="F23" t="str">
            <v>20</v>
          </cell>
          <cell r="G23">
            <v>0.14169999999999999</v>
          </cell>
          <cell r="H23">
            <v>770.06</v>
          </cell>
          <cell r="I23">
            <v>29.7</v>
          </cell>
          <cell r="J23">
            <v>6.2</v>
          </cell>
          <cell r="K23">
            <v>15.1</v>
          </cell>
          <cell r="L23">
            <v>0.80735694257485757</v>
          </cell>
          <cell r="M23">
            <v>5.1999999999999998E-2</v>
          </cell>
          <cell r="N23">
            <v>2.5054097125782005E-3</v>
          </cell>
          <cell r="O23">
            <v>0</v>
          </cell>
          <cell r="P23">
            <v>7.0000000000000007E-2</v>
          </cell>
          <cell r="Q23">
            <v>4.2999999999999997E-2</v>
          </cell>
          <cell r="R23">
            <v>0.05</v>
          </cell>
          <cell r="S23">
            <v>0.03</v>
          </cell>
        </row>
        <row r="24">
          <cell r="A24">
            <v>12007</v>
          </cell>
          <cell r="B24" t="str">
            <v>Lay's Clsssic</v>
          </cell>
          <cell r="C24" t="str">
            <v>6 B / 20g</v>
          </cell>
          <cell r="D24">
            <v>20</v>
          </cell>
          <cell r="E24">
            <v>120</v>
          </cell>
          <cell r="F24" t="str">
            <v xml:space="preserve">6 </v>
          </cell>
          <cell r="G24">
            <v>0.16669999999999999</v>
          </cell>
          <cell r="H24">
            <v>560.73</v>
          </cell>
          <cell r="I24">
            <v>29.7</v>
          </cell>
          <cell r="J24">
            <v>6.2</v>
          </cell>
          <cell r="K24">
            <v>15.1</v>
          </cell>
          <cell r="L24">
            <v>0.80735694257485757</v>
          </cell>
          <cell r="M24">
            <v>5.1999999999999998E-2</v>
          </cell>
          <cell r="N24">
            <v>2.5054097125782005E-3</v>
          </cell>
          <cell r="O24">
            <v>0</v>
          </cell>
          <cell r="P24">
            <v>7.0000000000000007E-2</v>
          </cell>
          <cell r="Q24">
            <v>5.1999999999999998E-2</v>
          </cell>
          <cell r="R24">
            <v>8.9999999999999993E-3</v>
          </cell>
          <cell r="S24">
            <v>3.3000000000000002E-2</v>
          </cell>
        </row>
        <row r="25">
          <cell r="A25">
            <v>12010</v>
          </cell>
          <cell r="B25" t="str">
            <v>Lay's Clsssic</v>
          </cell>
          <cell r="C25" t="str">
            <v>6 B / 24g</v>
          </cell>
          <cell r="D25">
            <v>24</v>
          </cell>
          <cell r="E25">
            <v>120</v>
          </cell>
          <cell r="F25" t="str">
            <v xml:space="preserve">6 </v>
          </cell>
          <cell r="G25">
            <v>0.16669999999999999</v>
          </cell>
          <cell r="H25">
            <v>560.73</v>
          </cell>
          <cell r="I25">
            <v>29.7</v>
          </cell>
          <cell r="J25">
            <v>6.2</v>
          </cell>
          <cell r="K25">
            <v>15.1</v>
          </cell>
          <cell r="L25">
            <v>0.80735694257485757</v>
          </cell>
          <cell r="M25">
            <v>5.1999999999999998E-2</v>
          </cell>
          <cell r="N25">
            <v>2.5054097125782005E-3</v>
          </cell>
          <cell r="O25">
            <v>0</v>
          </cell>
          <cell r="P25">
            <v>7.0000000000000007E-2</v>
          </cell>
          <cell r="Q25">
            <v>5.1999999999999998E-2</v>
          </cell>
          <cell r="R25">
            <v>8.9999999999999993E-3</v>
          </cell>
          <cell r="S25">
            <v>3.3000000000000002E-2</v>
          </cell>
        </row>
        <row r="26">
          <cell r="A26">
            <v>12011</v>
          </cell>
          <cell r="B26" t="str">
            <v>Lay's Clsssic</v>
          </cell>
          <cell r="C26" t="str">
            <v>20 B / 80g</v>
          </cell>
          <cell r="D26">
            <v>80</v>
          </cell>
          <cell r="E26">
            <v>48</v>
          </cell>
          <cell r="F26" t="str">
            <v>20</v>
          </cell>
          <cell r="G26">
            <v>0.14169999999999999</v>
          </cell>
          <cell r="H26">
            <v>770.06</v>
          </cell>
          <cell r="I26">
            <v>29.7</v>
          </cell>
          <cell r="J26">
            <v>6.2</v>
          </cell>
          <cell r="K26">
            <v>15.1</v>
          </cell>
          <cell r="L26">
            <v>0.80735694257485757</v>
          </cell>
          <cell r="M26">
            <v>5.1999999999999998E-2</v>
          </cell>
          <cell r="N26">
            <v>2.5054097125782005E-3</v>
          </cell>
          <cell r="O26">
            <v>0</v>
          </cell>
          <cell r="P26">
            <v>7.0000000000000007E-2</v>
          </cell>
          <cell r="Q26">
            <v>4.2999999999999997E-2</v>
          </cell>
          <cell r="R26">
            <v>0.05</v>
          </cell>
          <cell r="S26">
            <v>0.03</v>
          </cell>
        </row>
        <row r="27">
          <cell r="A27">
            <v>12012</v>
          </cell>
          <cell r="B27" t="str">
            <v>Lay's Clsssic</v>
          </cell>
          <cell r="C27" t="str">
            <v>30 B / 120g</v>
          </cell>
          <cell r="D27">
            <v>120</v>
          </cell>
          <cell r="E27">
            <v>24</v>
          </cell>
          <cell r="F27" t="str">
            <v>30</v>
          </cell>
          <cell r="G27">
            <v>0.1</v>
          </cell>
          <cell r="H27">
            <v>605.61</v>
          </cell>
          <cell r="I27">
            <v>29.7</v>
          </cell>
          <cell r="J27">
            <v>6.2</v>
          </cell>
          <cell r="K27">
            <v>15.1</v>
          </cell>
          <cell r="L27">
            <v>0.80735694257485757</v>
          </cell>
          <cell r="M27">
            <v>5.1999999999999998E-2</v>
          </cell>
          <cell r="N27">
            <v>2.5054097125782005E-3</v>
          </cell>
          <cell r="O27">
            <v>0</v>
          </cell>
          <cell r="P27">
            <v>7.0000000000000007E-2</v>
          </cell>
          <cell r="Q27">
            <v>2.5999999999999999E-2</v>
          </cell>
          <cell r="R27">
            <v>0.108</v>
          </cell>
          <cell r="S27">
            <v>0.01</v>
          </cell>
        </row>
        <row r="28">
          <cell r="A28">
            <v>12013</v>
          </cell>
          <cell r="B28" t="str">
            <v>Lay's Clsssic</v>
          </cell>
          <cell r="C28" t="str">
            <v>45 B / 150g</v>
          </cell>
          <cell r="D28">
            <v>150</v>
          </cell>
          <cell r="E28">
            <v>18</v>
          </cell>
          <cell r="F28" t="str">
            <v>45</v>
          </cell>
          <cell r="G28">
            <v>0.1</v>
          </cell>
          <cell r="H28">
            <v>681.31</v>
          </cell>
          <cell r="I28">
            <v>29.7</v>
          </cell>
          <cell r="J28">
            <v>6.2</v>
          </cell>
          <cell r="K28">
            <v>15.1</v>
          </cell>
          <cell r="L28">
            <v>0.80735694257485757</v>
          </cell>
          <cell r="M28">
            <v>5.1999999999999998E-2</v>
          </cell>
          <cell r="N28">
            <v>2.5054097125782005E-3</v>
          </cell>
          <cell r="O28">
            <v>0</v>
          </cell>
          <cell r="P28">
            <v>7.0000000000000007E-2</v>
          </cell>
          <cell r="Q28">
            <v>0.08</v>
          </cell>
          <cell r="R28">
            <v>3.3000000000000002E-2</v>
          </cell>
          <cell r="S28">
            <v>1.2999999999999999E-2</v>
          </cell>
        </row>
        <row r="29">
          <cell r="A29">
            <v>12014</v>
          </cell>
          <cell r="B29" t="str">
            <v>Lay's Clsssic</v>
          </cell>
          <cell r="C29" t="str">
            <v>30 B / 96g</v>
          </cell>
          <cell r="D29">
            <v>96</v>
          </cell>
          <cell r="E29">
            <v>24</v>
          </cell>
          <cell r="F29" t="str">
            <v>30</v>
          </cell>
          <cell r="G29">
            <v>0.1</v>
          </cell>
          <cell r="H29">
            <v>605.61</v>
          </cell>
          <cell r="I29">
            <v>29.7</v>
          </cell>
          <cell r="J29">
            <v>6.2</v>
          </cell>
          <cell r="K29">
            <v>15.1</v>
          </cell>
          <cell r="L29">
            <v>0.80735694257485757</v>
          </cell>
          <cell r="M29">
            <v>5.1999999999999998E-2</v>
          </cell>
          <cell r="N29">
            <v>2.5054097125782005E-3</v>
          </cell>
          <cell r="O29">
            <v>0</v>
          </cell>
          <cell r="P29">
            <v>7.0000000000000007E-2</v>
          </cell>
          <cell r="Q29">
            <v>2.5999999999999999E-2</v>
          </cell>
          <cell r="R29">
            <v>0.108</v>
          </cell>
          <cell r="S29">
            <v>0.01</v>
          </cell>
        </row>
        <row r="30">
          <cell r="A30">
            <v>13000</v>
          </cell>
          <cell r="B30" t="str">
            <v>Lay's Smile</v>
          </cell>
        </row>
        <row r="31">
          <cell r="A31">
            <v>13008</v>
          </cell>
          <cell r="B31" t="str">
            <v>Lay's Smile</v>
          </cell>
          <cell r="C31" t="str">
            <v>10 B / 30g - Smile</v>
          </cell>
          <cell r="D31">
            <v>30</v>
          </cell>
          <cell r="E31">
            <v>48</v>
          </cell>
          <cell r="F31" t="str">
            <v>10</v>
          </cell>
          <cell r="G31">
            <v>0.14169999999999999</v>
          </cell>
          <cell r="H31">
            <v>385.03</v>
          </cell>
          <cell r="I31">
            <v>29.7</v>
          </cell>
          <cell r="J31">
            <v>6.2</v>
          </cell>
          <cell r="K31">
            <v>15.1</v>
          </cell>
          <cell r="L31">
            <v>0.80735694257485757</v>
          </cell>
          <cell r="M31">
            <v>5.1999999999999998E-2</v>
          </cell>
          <cell r="N31">
            <v>2.5054097125782005E-3</v>
          </cell>
          <cell r="O31">
            <v>0</v>
          </cell>
          <cell r="P31">
            <v>7.0000000000000007E-2</v>
          </cell>
          <cell r="Q31">
            <v>5.1999999999999998E-2</v>
          </cell>
          <cell r="R31">
            <v>0</v>
          </cell>
          <cell r="S31">
            <v>2.5000000000000001E-2</v>
          </cell>
        </row>
        <row r="32">
          <cell r="A32">
            <v>13009</v>
          </cell>
          <cell r="B32" t="str">
            <v>Lay's Smile</v>
          </cell>
          <cell r="C32" t="str">
            <v>25 B / 80g - Smile</v>
          </cell>
          <cell r="D32">
            <v>80</v>
          </cell>
          <cell r="E32">
            <v>24</v>
          </cell>
          <cell r="F32" t="str">
            <v>25</v>
          </cell>
          <cell r="G32">
            <v>0.1</v>
          </cell>
          <cell r="H32">
            <v>504.67</v>
          </cell>
          <cell r="I32">
            <v>29.7</v>
          </cell>
          <cell r="J32">
            <v>6.2</v>
          </cell>
          <cell r="K32">
            <v>15.1</v>
          </cell>
          <cell r="L32">
            <v>0.80735694257485757</v>
          </cell>
          <cell r="M32">
            <v>5.1999999999999998E-2</v>
          </cell>
          <cell r="N32">
            <v>2.5054097125782005E-3</v>
          </cell>
          <cell r="O32">
            <v>0</v>
          </cell>
          <cell r="P32">
            <v>7.0000000000000007E-2</v>
          </cell>
          <cell r="Q32">
            <v>2.5999999999999999E-2</v>
          </cell>
          <cell r="R32">
            <v>0</v>
          </cell>
          <cell r="S32">
            <v>2.5000000000000001E-2</v>
          </cell>
        </row>
        <row r="33">
          <cell r="A33">
            <v>13108</v>
          </cell>
          <cell r="B33" t="str">
            <v>Lay's Clsssic</v>
          </cell>
          <cell r="C33" t="str">
            <v>10 B / 30g - Smile</v>
          </cell>
          <cell r="D33">
            <v>30</v>
          </cell>
          <cell r="E33">
            <v>48</v>
          </cell>
          <cell r="F33" t="str">
            <v>10</v>
          </cell>
          <cell r="G33">
            <v>0.14169999999999999</v>
          </cell>
          <cell r="H33">
            <v>385.03</v>
          </cell>
          <cell r="I33">
            <v>29.7</v>
          </cell>
          <cell r="J33">
            <v>6.2</v>
          </cell>
          <cell r="K33">
            <v>15.1</v>
          </cell>
          <cell r="L33">
            <v>0.80735694257485757</v>
          </cell>
          <cell r="M33">
            <v>5.1999999999999998E-2</v>
          </cell>
          <cell r="N33">
            <v>2.5054097125782005E-3</v>
          </cell>
          <cell r="O33">
            <v>0</v>
          </cell>
          <cell r="P33">
            <v>7.0000000000000007E-2</v>
          </cell>
          <cell r="Q33">
            <v>5.1999999999999998E-2</v>
          </cell>
          <cell r="R33">
            <v>0</v>
          </cell>
          <cell r="S33">
            <v>2.5000000000000001E-2</v>
          </cell>
        </row>
        <row r="34">
          <cell r="A34">
            <v>13109</v>
          </cell>
          <cell r="B34" t="str">
            <v>Lay's Clsssic</v>
          </cell>
          <cell r="C34" t="str">
            <v>25 B / 80g - Smile</v>
          </cell>
          <cell r="D34">
            <v>80</v>
          </cell>
          <cell r="E34">
            <v>24</v>
          </cell>
          <cell r="F34" t="str">
            <v>25</v>
          </cell>
          <cell r="G34">
            <v>0.1</v>
          </cell>
          <cell r="H34">
            <v>504.67</v>
          </cell>
          <cell r="I34">
            <v>29.7</v>
          </cell>
          <cell r="J34">
            <v>6.2</v>
          </cell>
          <cell r="K34">
            <v>15.1</v>
          </cell>
          <cell r="L34">
            <v>0.80735694257485757</v>
          </cell>
          <cell r="M34">
            <v>5.1999999999999998E-2</v>
          </cell>
          <cell r="N34">
            <v>2.5054097125782005E-3</v>
          </cell>
          <cell r="O34">
            <v>0</v>
          </cell>
          <cell r="P34">
            <v>7.0000000000000007E-2</v>
          </cell>
          <cell r="Q34">
            <v>2.5999999999999999E-2</v>
          </cell>
          <cell r="R34">
            <v>0</v>
          </cell>
          <cell r="S34">
            <v>2.5000000000000001E-2</v>
          </cell>
        </row>
        <row r="35">
          <cell r="A35">
            <v>14000</v>
          </cell>
          <cell r="B35" t="str">
            <v>Mun Mun</v>
          </cell>
        </row>
        <row r="36">
          <cell r="A36">
            <v>14001</v>
          </cell>
          <cell r="B36" t="str">
            <v>Mun Mun</v>
          </cell>
          <cell r="C36" t="str">
            <v>5 B  / 16g</v>
          </cell>
          <cell r="D36">
            <v>16</v>
          </cell>
          <cell r="E36">
            <v>72</v>
          </cell>
          <cell r="F36">
            <v>5</v>
          </cell>
          <cell r="G36">
            <v>0.16669999999999999</v>
          </cell>
          <cell r="H36">
            <v>280.36</v>
          </cell>
          <cell r="I36">
            <v>29.7</v>
          </cell>
          <cell r="J36">
            <v>6.2</v>
          </cell>
          <cell r="K36">
            <v>15.1</v>
          </cell>
          <cell r="L36">
            <v>0.80735694257485757</v>
          </cell>
          <cell r="M36">
            <v>0.05</v>
          </cell>
          <cell r="N36">
            <v>2.5054097125782005E-3</v>
          </cell>
          <cell r="O36">
            <v>0</v>
          </cell>
          <cell r="P36">
            <v>7.0000000000000007E-2</v>
          </cell>
        </row>
        <row r="37">
          <cell r="A37">
            <v>14001</v>
          </cell>
          <cell r="B37" t="str">
            <v>Mun Mun</v>
          </cell>
          <cell r="C37" t="str">
            <v>20 B  / 90g</v>
          </cell>
          <cell r="D37">
            <v>90</v>
          </cell>
          <cell r="E37">
            <v>24</v>
          </cell>
          <cell r="F37">
            <v>20</v>
          </cell>
          <cell r="G37">
            <v>0.1</v>
          </cell>
          <cell r="H37">
            <v>403.74</v>
          </cell>
          <cell r="I37">
            <v>29.7</v>
          </cell>
          <cell r="J37">
            <v>6.2</v>
          </cell>
          <cell r="K37">
            <v>15.1</v>
          </cell>
          <cell r="L37">
            <v>0.80735694257485757</v>
          </cell>
          <cell r="M37">
            <v>0.05</v>
          </cell>
          <cell r="N37">
            <v>2.5054097125782005E-3</v>
          </cell>
          <cell r="O37">
            <v>0</v>
          </cell>
          <cell r="P37">
            <v>7.0000000000000007E-2</v>
          </cell>
        </row>
        <row r="38">
          <cell r="A38">
            <v>20000</v>
          </cell>
          <cell r="B38" t="str">
            <v>CHEETOS</v>
          </cell>
        </row>
        <row r="39">
          <cell r="A39">
            <v>21000</v>
          </cell>
          <cell r="B39" t="str">
            <v>CHEETOS FCP</v>
          </cell>
        </row>
        <row r="40">
          <cell r="A40">
            <v>21001</v>
          </cell>
          <cell r="B40" t="str">
            <v>CHEETOS FCP</v>
          </cell>
          <cell r="C40" t="str">
            <v>5 B  / 18g</v>
          </cell>
          <cell r="D40">
            <v>18</v>
          </cell>
          <cell r="E40">
            <v>96</v>
          </cell>
          <cell r="F40">
            <v>5</v>
          </cell>
          <cell r="G40">
            <v>0.16669999999999999</v>
          </cell>
          <cell r="H40">
            <v>373.82</v>
          </cell>
          <cell r="I40">
            <v>17.8</v>
          </cell>
          <cell r="J40">
            <v>4.7</v>
          </cell>
          <cell r="K40">
            <v>15.1</v>
          </cell>
          <cell r="L40">
            <v>0.80735694257485757</v>
          </cell>
          <cell r="M40">
            <v>0.05</v>
          </cell>
          <cell r="N40">
            <v>2.5054097125782005E-3</v>
          </cell>
          <cell r="O40">
            <v>0.01</v>
          </cell>
          <cell r="P40">
            <v>7.0000000000000007E-2</v>
          </cell>
          <cell r="Q40">
            <v>4.0172727272727284E-2</v>
          </cell>
          <cell r="R40">
            <v>1.3090909090909092E-2</v>
          </cell>
          <cell r="S40">
            <v>2.6181818181818185E-2</v>
          </cell>
        </row>
        <row r="41">
          <cell r="A41">
            <v>21002</v>
          </cell>
          <cell r="B41" t="str">
            <v>CHEETOS FCP</v>
          </cell>
          <cell r="C41" t="str">
            <v>5 B  / 20g</v>
          </cell>
          <cell r="D41">
            <v>20</v>
          </cell>
          <cell r="E41">
            <v>96</v>
          </cell>
          <cell r="F41">
            <v>5</v>
          </cell>
          <cell r="G41">
            <v>0.16669999999999999</v>
          </cell>
          <cell r="H41">
            <v>373.82</v>
          </cell>
          <cell r="I41">
            <v>17.8</v>
          </cell>
          <cell r="J41">
            <v>4.7</v>
          </cell>
          <cell r="K41">
            <v>15.1</v>
          </cell>
          <cell r="L41">
            <v>0.80735694257485757</v>
          </cell>
          <cell r="M41">
            <v>0.05</v>
          </cell>
          <cell r="N41">
            <v>2.5054097125782005E-3</v>
          </cell>
          <cell r="O41">
            <v>0.01</v>
          </cell>
          <cell r="P41">
            <v>7.0000000000000007E-2</v>
          </cell>
          <cell r="Q41">
            <v>4.0172727272727284E-2</v>
          </cell>
          <cell r="R41">
            <v>1.3090909090909092E-2</v>
          </cell>
          <cell r="S41">
            <v>2.6181818181818185E-2</v>
          </cell>
        </row>
        <row r="42">
          <cell r="A42">
            <v>21003</v>
          </cell>
          <cell r="B42" t="str">
            <v>CHEETOS FCP</v>
          </cell>
          <cell r="C42" t="str">
            <v>10 B  / 45g</v>
          </cell>
          <cell r="D42">
            <v>45</v>
          </cell>
          <cell r="E42">
            <v>48</v>
          </cell>
          <cell r="F42">
            <v>10</v>
          </cell>
          <cell r="G42">
            <v>0.14169999999999999</v>
          </cell>
          <cell r="H42">
            <v>385.03</v>
          </cell>
          <cell r="I42">
            <v>17.8</v>
          </cell>
          <cell r="J42">
            <v>4.7</v>
          </cell>
          <cell r="K42">
            <v>15.1</v>
          </cell>
          <cell r="L42">
            <v>0.80735694257485757</v>
          </cell>
          <cell r="M42">
            <v>0.05</v>
          </cell>
          <cell r="N42">
            <v>2.5054097125782005E-3</v>
          </cell>
          <cell r="O42">
            <v>0.01</v>
          </cell>
          <cell r="P42">
            <v>7.0000000000000007E-2</v>
          </cell>
          <cell r="Q42">
            <v>5.4285714285714284E-2</v>
          </cell>
          <cell r="R42">
            <v>2.7428571428571431E-2</v>
          </cell>
          <cell r="S42">
            <v>1.2571428571428574E-2</v>
          </cell>
        </row>
        <row r="43">
          <cell r="A43">
            <v>21004</v>
          </cell>
          <cell r="B43" t="str">
            <v>CHEETOS FCP</v>
          </cell>
          <cell r="C43" t="str">
            <v>10 B  / 40g</v>
          </cell>
          <cell r="D43">
            <v>40</v>
          </cell>
          <cell r="E43">
            <v>48</v>
          </cell>
          <cell r="F43">
            <v>10</v>
          </cell>
          <cell r="G43">
            <v>0.14169999999999999</v>
          </cell>
          <cell r="H43">
            <v>385.03</v>
          </cell>
          <cell r="I43">
            <v>17.8</v>
          </cell>
          <cell r="J43">
            <v>4.7</v>
          </cell>
          <cell r="K43">
            <v>15.1</v>
          </cell>
          <cell r="L43">
            <v>0.80735694257485757</v>
          </cell>
          <cell r="M43">
            <v>0.05</v>
          </cell>
          <cell r="N43">
            <v>2.5054097125782005E-3</v>
          </cell>
          <cell r="O43">
            <v>0.01</v>
          </cell>
          <cell r="P43">
            <v>7.0000000000000007E-2</v>
          </cell>
          <cell r="Q43">
            <v>5.4285714285714284E-2</v>
          </cell>
          <cell r="R43">
            <v>2.7428571428571431E-2</v>
          </cell>
          <cell r="S43">
            <v>1.2571428571428574E-2</v>
          </cell>
        </row>
        <row r="44">
          <cell r="A44">
            <v>22000</v>
          </cell>
          <cell r="B44" t="str">
            <v>CHEETOS BCP</v>
          </cell>
        </row>
        <row r="45">
          <cell r="A45">
            <v>22001</v>
          </cell>
          <cell r="B45" t="str">
            <v>CHEETOS BCP</v>
          </cell>
          <cell r="C45" t="str">
            <v>5 B  / 15g</v>
          </cell>
          <cell r="D45">
            <v>15</v>
          </cell>
          <cell r="E45">
            <v>96</v>
          </cell>
          <cell r="F45">
            <v>5</v>
          </cell>
          <cell r="G45">
            <v>0.16669999999999999</v>
          </cell>
          <cell r="H45">
            <v>373.82</v>
          </cell>
          <cell r="I45">
            <v>10.9</v>
          </cell>
          <cell r="J45">
            <v>4.7</v>
          </cell>
          <cell r="K45">
            <v>15.1</v>
          </cell>
          <cell r="L45">
            <v>0.80735694257485757</v>
          </cell>
          <cell r="M45">
            <v>5.1999999999999998E-2</v>
          </cell>
          <cell r="N45">
            <v>2.5054097125782005E-3</v>
          </cell>
          <cell r="O45">
            <v>0.01</v>
          </cell>
          <cell r="P45">
            <v>7.0000000000000007E-2</v>
          </cell>
          <cell r="Q45">
            <v>4.9099999999999998E-2</v>
          </cell>
          <cell r="R45">
            <v>1.6E-2</v>
          </cell>
          <cell r="S45">
            <v>3.2000000000000001E-2</v>
          </cell>
        </row>
        <row r="46">
          <cell r="A46">
            <v>22002</v>
          </cell>
          <cell r="B46" t="str">
            <v>CHEETOS BCP</v>
          </cell>
          <cell r="C46" t="str">
            <v>5 B  / 22g</v>
          </cell>
          <cell r="D46">
            <v>22</v>
          </cell>
          <cell r="E46">
            <v>96</v>
          </cell>
          <cell r="F46">
            <v>5</v>
          </cell>
          <cell r="G46">
            <v>0.16669999999999999</v>
          </cell>
          <cell r="H46">
            <v>373.82</v>
          </cell>
          <cell r="I46">
            <v>10.9</v>
          </cell>
          <cell r="J46">
            <v>4.7</v>
          </cell>
          <cell r="K46">
            <v>15.1</v>
          </cell>
          <cell r="L46">
            <v>0.80735694257485757</v>
          </cell>
          <cell r="M46">
            <v>5.1999999999999998E-2</v>
          </cell>
          <cell r="N46">
            <v>2.5054097125782005E-3</v>
          </cell>
          <cell r="O46">
            <v>0.01</v>
          </cell>
          <cell r="P46">
            <v>7.0000000000000007E-2</v>
          </cell>
          <cell r="Q46">
            <v>4.9099999999999998E-2</v>
          </cell>
          <cell r="R46">
            <v>1.6E-2</v>
          </cell>
          <cell r="S46">
            <v>3.2000000000000001E-2</v>
          </cell>
        </row>
        <row r="47">
          <cell r="A47">
            <v>22003</v>
          </cell>
          <cell r="B47" t="str">
            <v>CHEETOS BCP</v>
          </cell>
          <cell r="C47" t="str">
            <v>10 B  / 45g</v>
          </cell>
          <cell r="D47">
            <v>45</v>
          </cell>
          <cell r="E47">
            <v>48</v>
          </cell>
          <cell r="F47">
            <v>10</v>
          </cell>
          <cell r="G47">
            <v>0.14169999999999999</v>
          </cell>
          <cell r="H47">
            <v>385.03</v>
          </cell>
          <cell r="I47">
            <v>10.9</v>
          </cell>
          <cell r="J47">
            <v>4.7</v>
          </cell>
          <cell r="K47">
            <v>15.1</v>
          </cell>
          <cell r="L47">
            <v>0.80735694257485757</v>
          </cell>
          <cell r="M47">
            <v>5.1999999999999998E-2</v>
          </cell>
          <cell r="N47">
            <v>2.5054097125782005E-3</v>
          </cell>
          <cell r="O47">
            <v>0.01</v>
          </cell>
          <cell r="P47">
            <v>7.0000000000000007E-2</v>
          </cell>
          <cell r="Q47">
            <v>4.7500000000000001E-2</v>
          </cell>
          <cell r="R47">
            <v>2.4E-2</v>
          </cell>
          <cell r="S47">
            <v>1.0999999999999999E-2</v>
          </cell>
        </row>
        <row r="48">
          <cell r="A48">
            <v>22004</v>
          </cell>
          <cell r="B48" t="str">
            <v>CHEETOS BCP</v>
          </cell>
          <cell r="C48" t="str">
            <v>10 B  / 35g</v>
          </cell>
          <cell r="D48">
            <v>35</v>
          </cell>
          <cell r="E48">
            <v>48</v>
          </cell>
          <cell r="F48">
            <v>10</v>
          </cell>
          <cell r="G48">
            <v>0.14169999999999999</v>
          </cell>
          <cell r="H48">
            <v>385.03</v>
          </cell>
          <cell r="I48">
            <v>10.9</v>
          </cell>
          <cell r="J48">
            <v>4.7</v>
          </cell>
          <cell r="K48">
            <v>15.1</v>
          </cell>
          <cell r="L48">
            <v>0.80735694257485757</v>
          </cell>
          <cell r="M48">
            <v>5.1999999999999998E-2</v>
          </cell>
          <cell r="N48">
            <v>2.5054097125782005E-3</v>
          </cell>
          <cell r="O48">
            <v>0.01</v>
          </cell>
          <cell r="P48">
            <v>7.0000000000000007E-2</v>
          </cell>
          <cell r="Q48">
            <v>4.7500000000000001E-2</v>
          </cell>
          <cell r="R48">
            <v>2.4E-2</v>
          </cell>
          <cell r="S48">
            <v>1.0999999999999999E-2</v>
          </cell>
        </row>
        <row r="49">
          <cell r="A49">
            <v>30000</v>
          </cell>
          <cell r="B49" t="str">
            <v>Twisties</v>
          </cell>
        </row>
        <row r="50">
          <cell r="A50">
            <v>30001</v>
          </cell>
          <cell r="B50" t="str">
            <v>Twisties</v>
          </cell>
          <cell r="C50" t="str">
            <v>5 B  / 20g</v>
          </cell>
          <cell r="D50">
            <v>20</v>
          </cell>
          <cell r="E50">
            <v>72</v>
          </cell>
          <cell r="F50">
            <v>5</v>
          </cell>
          <cell r="G50">
            <v>0.16669999999999999</v>
          </cell>
          <cell r="H50">
            <v>280.36</v>
          </cell>
          <cell r="I50">
            <v>10.9</v>
          </cell>
          <cell r="J50">
            <v>4.7</v>
          </cell>
          <cell r="K50">
            <v>15.1</v>
          </cell>
          <cell r="L50">
            <v>0.80735694257485757</v>
          </cell>
          <cell r="M50">
            <v>0.05</v>
          </cell>
          <cell r="N50">
            <v>2.5054097125782005E-3</v>
          </cell>
          <cell r="O50">
            <v>0.01</v>
          </cell>
          <cell r="P50">
            <v>7.0000000000000007E-2</v>
          </cell>
          <cell r="Q50">
            <v>4.7899999999999998E-2</v>
          </cell>
          <cell r="R50">
            <v>2.4E-2</v>
          </cell>
          <cell r="S50">
            <v>2.5000000000000001E-2</v>
          </cell>
        </row>
        <row r="51">
          <cell r="A51">
            <v>30002</v>
          </cell>
          <cell r="B51" t="str">
            <v>Twisties</v>
          </cell>
          <cell r="C51" t="str">
            <v>10 B  / 40g</v>
          </cell>
          <cell r="D51">
            <v>40</v>
          </cell>
          <cell r="E51">
            <v>48</v>
          </cell>
          <cell r="F51">
            <v>10</v>
          </cell>
          <cell r="G51">
            <v>0.14169999999999999</v>
          </cell>
          <cell r="H51">
            <v>385.03</v>
          </cell>
          <cell r="I51">
            <v>10.9</v>
          </cell>
          <cell r="J51">
            <v>4.7</v>
          </cell>
          <cell r="K51">
            <v>15.1</v>
          </cell>
          <cell r="L51">
            <v>0.80735694257485757</v>
          </cell>
          <cell r="M51">
            <v>0.05</v>
          </cell>
          <cell r="N51">
            <v>2.5054097125782005E-3</v>
          </cell>
          <cell r="O51">
            <v>0.01</v>
          </cell>
          <cell r="P51">
            <v>7.0000000000000007E-2</v>
          </cell>
          <cell r="Q51">
            <v>4.3499999999999997E-2</v>
          </cell>
          <cell r="R51">
            <v>0.03</v>
          </cell>
          <cell r="S51">
            <v>1.3999999999999999E-2</v>
          </cell>
        </row>
        <row r="52">
          <cell r="A52">
            <v>30003</v>
          </cell>
          <cell r="B52" t="str">
            <v>Twisties</v>
          </cell>
          <cell r="C52" t="str">
            <v>20 B  / 90g</v>
          </cell>
          <cell r="D52">
            <v>90</v>
          </cell>
          <cell r="E52">
            <v>24</v>
          </cell>
          <cell r="F52">
            <v>20</v>
          </cell>
          <cell r="G52">
            <v>0.1</v>
          </cell>
          <cell r="H52">
            <v>403.74</v>
          </cell>
          <cell r="I52">
            <v>10.9</v>
          </cell>
          <cell r="J52">
            <v>4.7</v>
          </cell>
          <cell r="K52">
            <v>15.1</v>
          </cell>
          <cell r="L52">
            <v>0.80735694257485757</v>
          </cell>
          <cell r="M52">
            <v>0.05</v>
          </cell>
          <cell r="N52">
            <v>2.5054097125782005E-3</v>
          </cell>
          <cell r="O52">
            <v>0.01</v>
          </cell>
          <cell r="P52">
            <v>7.0000000000000007E-2</v>
          </cell>
          <cell r="Q52">
            <v>5.1799999999999999E-2</v>
          </cell>
          <cell r="R52">
            <v>6.3E-2</v>
          </cell>
          <cell r="S52">
            <v>1.3000000000000001E-2</v>
          </cell>
        </row>
        <row r="53">
          <cell r="A53">
            <v>40000</v>
          </cell>
          <cell r="B53" t="str">
            <v>3D's</v>
          </cell>
        </row>
        <row r="54">
          <cell r="A54">
            <v>41000</v>
          </cell>
          <cell r="B54" t="str">
            <v>3D's Corn</v>
          </cell>
        </row>
        <row r="55">
          <cell r="A55">
            <v>41001</v>
          </cell>
          <cell r="B55" t="str">
            <v>3D's Corn</v>
          </cell>
          <cell r="C55" t="str">
            <v>5 B  / 18g</v>
          </cell>
          <cell r="D55">
            <v>18</v>
          </cell>
          <cell r="E55">
            <v>72</v>
          </cell>
          <cell r="F55">
            <v>5</v>
          </cell>
          <cell r="G55">
            <v>0.16669999999999999</v>
          </cell>
          <cell r="H55">
            <v>280.36</v>
          </cell>
          <cell r="I55">
            <v>33.6</v>
          </cell>
          <cell r="J55">
            <v>4.7</v>
          </cell>
          <cell r="K55">
            <v>15.1</v>
          </cell>
          <cell r="L55">
            <v>0.80735694257485757</v>
          </cell>
          <cell r="M55">
            <v>0.05</v>
          </cell>
          <cell r="N55">
            <v>2.5054097125782005E-3</v>
          </cell>
          <cell r="O55">
            <v>0.04</v>
          </cell>
          <cell r="P55">
            <v>7.0000000000000007E-2</v>
          </cell>
          <cell r="Q55">
            <v>6.2899999999999998E-2</v>
          </cell>
          <cell r="R55">
            <v>3.2000000000000001E-2</v>
          </cell>
          <cell r="S55">
            <v>6.9999999999999993E-3</v>
          </cell>
        </row>
        <row r="56">
          <cell r="A56">
            <v>41002</v>
          </cell>
          <cell r="B56" t="str">
            <v>3D's Corn</v>
          </cell>
          <cell r="C56" t="str">
            <v>10 B  / 36g</v>
          </cell>
          <cell r="D56">
            <v>36</v>
          </cell>
          <cell r="E56">
            <v>48</v>
          </cell>
          <cell r="F56">
            <v>10</v>
          </cell>
          <cell r="G56">
            <v>0.14169999999999999</v>
          </cell>
          <cell r="H56">
            <v>385.03</v>
          </cell>
          <cell r="I56">
            <v>33.6</v>
          </cell>
          <cell r="J56">
            <v>4.7</v>
          </cell>
          <cell r="K56">
            <v>15.1</v>
          </cell>
          <cell r="L56">
            <v>0.80735694257485757</v>
          </cell>
          <cell r="M56">
            <v>0.05</v>
          </cell>
          <cell r="N56">
            <v>2.5054097125782005E-3</v>
          </cell>
          <cell r="O56">
            <v>0.04</v>
          </cell>
          <cell r="P56">
            <v>7.0000000000000007E-2</v>
          </cell>
          <cell r="Q56">
            <v>5.7800000000000004E-2</v>
          </cell>
          <cell r="R56">
            <v>6.9999999999999993E-3</v>
          </cell>
          <cell r="S56">
            <v>3.9E-2</v>
          </cell>
        </row>
        <row r="57">
          <cell r="A57">
            <v>41003</v>
          </cell>
          <cell r="B57" t="str">
            <v>3D's Corn</v>
          </cell>
          <cell r="C57" t="str">
            <v>20 B  / 75g</v>
          </cell>
          <cell r="D57">
            <v>75</v>
          </cell>
          <cell r="E57">
            <v>24</v>
          </cell>
          <cell r="F57">
            <v>20</v>
          </cell>
          <cell r="G57">
            <v>0.1</v>
          </cell>
          <cell r="H57">
            <v>403.74</v>
          </cell>
          <cell r="I57">
            <v>33.6</v>
          </cell>
          <cell r="J57">
            <v>4.7</v>
          </cell>
          <cell r="K57">
            <v>15.1</v>
          </cell>
          <cell r="L57">
            <v>0.80735694257485757</v>
          </cell>
          <cell r="M57">
            <v>0.05</v>
          </cell>
          <cell r="N57">
            <v>2.5054097125782005E-3</v>
          </cell>
          <cell r="O57">
            <v>0.04</v>
          </cell>
          <cell r="P57">
            <v>7.0000000000000007E-2</v>
          </cell>
          <cell r="Q57">
            <v>6.7500000000000004E-2</v>
          </cell>
          <cell r="R57">
            <v>1.2E-2</v>
          </cell>
          <cell r="S57">
            <v>0.04</v>
          </cell>
        </row>
        <row r="58">
          <cell r="A58">
            <v>41004</v>
          </cell>
          <cell r="B58" t="str">
            <v>3D's Corn</v>
          </cell>
          <cell r="C58" t="str">
            <v>5 B  / 20g</v>
          </cell>
          <cell r="D58">
            <v>20</v>
          </cell>
          <cell r="E58">
            <v>72</v>
          </cell>
          <cell r="F58">
            <v>5</v>
          </cell>
          <cell r="G58">
            <v>0.16669999999999999</v>
          </cell>
          <cell r="H58">
            <v>280.36</v>
          </cell>
          <cell r="I58">
            <v>33.6</v>
          </cell>
          <cell r="J58">
            <v>4.7</v>
          </cell>
          <cell r="K58">
            <v>15.1</v>
          </cell>
          <cell r="L58">
            <v>0.80735694257485757</v>
          </cell>
          <cell r="M58">
            <v>0.05</v>
          </cell>
          <cell r="N58">
            <v>2.5054097125782005E-3</v>
          </cell>
          <cell r="O58">
            <v>0.04</v>
          </cell>
          <cell r="P58">
            <v>7.0000000000000007E-2</v>
          </cell>
          <cell r="Q58">
            <v>6.2899999999999998E-2</v>
          </cell>
          <cell r="R58">
            <v>3.2000000000000001E-2</v>
          </cell>
          <cell r="S58">
            <v>6.9999999999999993E-3</v>
          </cell>
        </row>
        <row r="59">
          <cell r="A59">
            <v>41005</v>
          </cell>
          <cell r="B59" t="str">
            <v>3D's Corn</v>
          </cell>
          <cell r="C59" t="str">
            <v>10 B  / 40g</v>
          </cell>
          <cell r="D59">
            <v>40</v>
          </cell>
          <cell r="E59">
            <v>48</v>
          </cell>
          <cell r="F59">
            <v>10</v>
          </cell>
          <cell r="G59">
            <v>0.14169999999999999</v>
          </cell>
          <cell r="H59">
            <v>385.03</v>
          </cell>
          <cell r="I59">
            <v>33.6</v>
          </cell>
          <cell r="J59">
            <v>4.7</v>
          </cell>
          <cell r="K59">
            <v>15.1</v>
          </cell>
          <cell r="L59">
            <v>0.80735694257485757</v>
          </cell>
          <cell r="M59">
            <v>0.05</v>
          </cell>
          <cell r="N59">
            <v>2.5054097125782005E-3</v>
          </cell>
          <cell r="O59">
            <v>0.04</v>
          </cell>
          <cell r="P59">
            <v>7.0000000000000007E-2</v>
          </cell>
          <cell r="Q59">
            <v>5.7800000000000004E-2</v>
          </cell>
          <cell r="R59">
            <v>6.9999999999999993E-3</v>
          </cell>
          <cell r="S59">
            <v>3.9E-2</v>
          </cell>
        </row>
        <row r="60">
          <cell r="A60">
            <v>42000</v>
          </cell>
          <cell r="B60" t="str">
            <v>3D's Perf.</v>
          </cell>
        </row>
        <row r="61">
          <cell r="A61">
            <v>42001</v>
          </cell>
          <cell r="B61" t="str">
            <v>3D's Perf.</v>
          </cell>
          <cell r="C61" t="str">
            <v>5 B  / 22g</v>
          </cell>
          <cell r="D61">
            <v>22</v>
          </cell>
          <cell r="E61">
            <v>72</v>
          </cell>
          <cell r="F61">
            <v>5</v>
          </cell>
          <cell r="G61">
            <v>0.16669999999999999</v>
          </cell>
          <cell r="H61">
            <v>280.36</v>
          </cell>
          <cell r="I61">
            <v>33.6</v>
          </cell>
          <cell r="J61">
            <v>4.7</v>
          </cell>
          <cell r="K61">
            <v>15.1</v>
          </cell>
          <cell r="L61">
            <v>0.80735694257485757</v>
          </cell>
          <cell r="M61">
            <v>0.05</v>
          </cell>
          <cell r="N61">
            <v>2.5054097125782005E-3</v>
          </cell>
          <cell r="O61">
            <v>0.04</v>
          </cell>
          <cell r="P61">
            <v>7.0000000000000007E-2</v>
          </cell>
          <cell r="Q61">
            <v>6.2899999999999998E-2</v>
          </cell>
          <cell r="R61">
            <v>3.2000000000000001E-2</v>
          </cell>
          <cell r="S61">
            <v>6.9999999999999993E-3</v>
          </cell>
        </row>
        <row r="62">
          <cell r="A62">
            <v>42002</v>
          </cell>
          <cell r="B62" t="str">
            <v>3D's Perf.</v>
          </cell>
          <cell r="C62" t="str">
            <v>10 B  / 45g</v>
          </cell>
          <cell r="D62">
            <v>45</v>
          </cell>
          <cell r="E62">
            <v>48</v>
          </cell>
          <cell r="F62">
            <v>10</v>
          </cell>
          <cell r="G62">
            <v>0.14169999999999999</v>
          </cell>
          <cell r="H62">
            <v>385.03</v>
          </cell>
          <cell r="I62">
            <v>33.6</v>
          </cell>
          <cell r="J62">
            <v>4.7</v>
          </cell>
          <cell r="K62">
            <v>15.1</v>
          </cell>
          <cell r="L62">
            <v>0.80735694257485757</v>
          </cell>
          <cell r="M62">
            <v>0.05</v>
          </cell>
          <cell r="N62">
            <v>2.5054097125782005E-3</v>
          </cell>
          <cell r="O62">
            <v>0.04</v>
          </cell>
          <cell r="P62">
            <v>7.0000000000000007E-2</v>
          </cell>
          <cell r="Q62">
            <v>5.7800000000000004E-2</v>
          </cell>
          <cell r="R62">
            <v>6.9999999999999993E-3</v>
          </cell>
          <cell r="S62">
            <v>3.9E-2</v>
          </cell>
        </row>
        <row r="63">
          <cell r="A63">
            <v>42003</v>
          </cell>
          <cell r="B63" t="str">
            <v>3D's Perf.</v>
          </cell>
          <cell r="C63" t="str">
            <v>20 B  / 75g</v>
          </cell>
          <cell r="D63">
            <v>75</v>
          </cell>
          <cell r="E63">
            <v>24</v>
          </cell>
          <cell r="F63">
            <v>20</v>
          </cell>
          <cell r="G63">
            <v>0.1</v>
          </cell>
          <cell r="H63">
            <v>403.74</v>
          </cell>
          <cell r="I63">
            <v>33.6</v>
          </cell>
          <cell r="J63">
            <v>4.7</v>
          </cell>
          <cell r="K63">
            <v>15.1</v>
          </cell>
          <cell r="L63">
            <v>0.80735694257485757</v>
          </cell>
          <cell r="M63">
            <v>0.05</v>
          </cell>
          <cell r="N63">
            <v>2.5054097125782005E-3</v>
          </cell>
          <cell r="O63">
            <v>0.04</v>
          </cell>
          <cell r="P63">
            <v>7.0000000000000007E-2</v>
          </cell>
          <cell r="Q63">
            <v>6.7500000000000004E-2</v>
          </cell>
          <cell r="R63">
            <v>1.2E-2</v>
          </cell>
          <cell r="S63">
            <v>0.04</v>
          </cell>
        </row>
        <row r="64">
          <cell r="A64">
            <v>42004</v>
          </cell>
          <cell r="B64" t="str">
            <v>3D's Perf.</v>
          </cell>
          <cell r="C64" t="str">
            <v>5 B  / 20g</v>
          </cell>
          <cell r="D64">
            <v>20</v>
          </cell>
          <cell r="E64">
            <v>72</v>
          </cell>
          <cell r="F64">
            <v>5</v>
          </cell>
          <cell r="G64">
            <v>0.16669999999999999</v>
          </cell>
          <cell r="H64">
            <v>280.36</v>
          </cell>
          <cell r="I64">
            <v>33.6</v>
          </cell>
          <cell r="J64">
            <v>4.7</v>
          </cell>
          <cell r="K64">
            <v>15.1</v>
          </cell>
          <cell r="L64">
            <v>0.80735694257485757</v>
          </cell>
          <cell r="M64">
            <v>0.05</v>
          </cell>
          <cell r="N64">
            <v>2.5054097125782005E-3</v>
          </cell>
          <cell r="O64">
            <v>0.04</v>
          </cell>
          <cell r="P64">
            <v>7.0000000000000007E-2</v>
          </cell>
          <cell r="Q64">
            <v>6.2899999999999998E-2</v>
          </cell>
          <cell r="R64">
            <v>3.2000000000000001E-2</v>
          </cell>
          <cell r="S64">
            <v>6.9999999999999993E-3</v>
          </cell>
        </row>
        <row r="65">
          <cell r="A65">
            <v>42005</v>
          </cell>
          <cell r="B65" t="str">
            <v>3D's Perf.</v>
          </cell>
          <cell r="C65" t="str">
            <v>10 B  / 40g</v>
          </cell>
          <cell r="D65">
            <v>40</v>
          </cell>
          <cell r="E65">
            <v>48</v>
          </cell>
          <cell r="F65">
            <v>10</v>
          </cell>
          <cell r="G65">
            <v>0.14169999999999999</v>
          </cell>
          <cell r="H65">
            <v>385.03</v>
          </cell>
          <cell r="I65">
            <v>33.6</v>
          </cell>
          <cell r="J65">
            <v>4.7</v>
          </cell>
          <cell r="K65">
            <v>15.1</v>
          </cell>
          <cell r="L65">
            <v>0.80735694257485757</v>
          </cell>
          <cell r="M65">
            <v>0.05</v>
          </cell>
          <cell r="N65">
            <v>2.5054097125782005E-3</v>
          </cell>
          <cell r="O65">
            <v>0.04</v>
          </cell>
          <cell r="P65">
            <v>7.0000000000000007E-2</v>
          </cell>
          <cell r="Q65">
            <v>5.7800000000000004E-2</v>
          </cell>
          <cell r="R65">
            <v>6.9999999999999993E-3</v>
          </cell>
          <cell r="S65">
            <v>3.9E-2</v>
          </cell>
        </row>
        <row r="66">
          <cell r="A66">
            <v>50000</v>
          </cell>
          <cell r="B66" t="str">
            <v>New Product</v>
          </cell>
        </row>
        <row r="67">
          <cell r="A67">
            <v>51001</v>
          </cell>
          <cell r="B67" t="str">
            <v>Tawan</v>
          </cell>
          <cell r="C67" t="str">
            <v>5 B  / 25g</v>
          </cell>
          <cell r="D67">
            <v>25</v>
          </cell>
          <cell r="E67">
            <v>72</v>
          </cell>
          <cell r="F67">
            <v>5</v>
          </cell>
          <cell r="G67">
            <v>0.16669999999999999</v>
          </cell>
          <cell r="H67">
            <v>280.36</v>
          </cell>
          <cell r="I67">
            <v>33.6</v>
          </cell>
          <cell r="J67">
            <v>4.7</v>
          </cell>
          <cell r="K67">
            <v>15.1</v>
          </cell>
          <cell r="L67">
            <v>0.80735694257485757</v>
          </cell>
          <cell r="M67">
            <v>0.05</v>
          </cell>
          <cell r="N67">
            <v>2.5054097125782005E-3</v>
          </cell>
          <cell r="O67">
            <v>0.04</v>
          </cell>
          <cell r="P67">
            <v>7.0000000000000007E-2</v>
          </cell>
          <cell r="Q67">
            <v>0.09</v>
          </cell>
          <cell r="R67">
            <v>5.0000000000000001E-3</v>
          </cell>
          <cell r="S67">
            <v>2.5000000000000001E-2</v>
          </cell>
        </row>
        <row r="68">
          <cell r="A68">
            <v>51002</v>
          </cell>
          <cell r="B68" t="str">
            <v>Tawan</v>
          </cell>
          <cell r="C68" t="str">
            <v>10 B  / 55g</v>
          </cell>
          <cell r="D68">
            <v>55</v>
          </cell>
          <cell r="E68">
            <v>48</v>
          </cell>
          <cell r="F68">
            <v>10</v>
          </cell>
          <cell r="G68">
            <v>0.14169999999999999</v>
          </cell>
          <cell r="H68">
            <v>385.03</v>
          </cell>
          <cell r="I68">
            <v>33.6</v>
          </cell>
          <cell r="J68">
            <v>4.7</v>
          </cell>
          <cell r="K68">
            <v>15.1</v>
          </cell>
          <cell r="L68">
            <v>0.80735694257485757</v>
          </cell>
          <cell r="M68">
            <v>0.05</v>
          </cell>
          <cell r="N68">
            <v>2.5054097125782005E-3</v>
          </cell>
          <cell r="O68">
            <v>0.04</v>
          </cell>
          <cell r="P68">
            <v>7.0000000000000007E-2</v>
          </cell>
          <cell r="Q68">
            <v>4.3499999999999997E-2</v>
          </cell>
          <cell r="R68">
            <v>0.03</v>
          </cell>
          <cell r="S68">
            <v>2.5000000000000001E-2</v>
          </cell>
        </row>
        <row r="69">
          <cell r="A69">
            <v>51003</v>
          </cell>
          <cell r="B69" t="str">
            <v>Tawan</v>
          </cell>
          <cell r="C69" t="str">
            <v>10 B  / 60g</v>
          </cell>
          <cell r="D69">
            <v>60</v>
          </cell>
          <cell r="E69">
            <v>48</v>
          </cell>
          <cell r="F69">
            <v>10</v>
          </cell>
          <cell r="G69">
            <v>0.14169999999999999</v>
          </cell>
          <cell r="H69">
            <v>385.03</v>
          </cell>
          <cell r="I69">
            <v>33.6</v>
          </cell>
          <cell r="J69">
            <v>4.7</v>
          </cell>
          <cell r="K69">
            <v>15.1</v>
          </cell>
          <cell r="L69">
            <v>0.80735694257485757</v>
          </cell>
          <cell r="M69">
            <v>0.05</v>
          </cell>
          <cell r="N69">
            <v>2.5054097125782005E-3</v>
          </cell>
          <cell r="O69">
            <v>0.04</v>
          </cell>
          <cell r="P69">
            <v>7.0000000000000007E-2</v>
          </cell>
          <cell r="Q69">
            <v>4.3499999999999997E-2</v>
          </cell>
          <cell r="R69">
            <v>0.03</v>
          </cell>
          <cell r="S69">
            <v>2.5000000000000001E-2</v>
          </cell>
        </row>
        <row r="70">
          <cell r="A70">
            <v>52001</v>
          </cell>
          <cell r="B70" t="str">
            <v>Fuji</v>
          </cell>
          <cell r="C70" t="str">
            <v>5 B  / 18g</v>
          </cell>
          <cell r="D70">
            <v>18</v>
          </cell>
          <cell r="E70">
            <v>96</v>
          </cell>
          <cell r="F70">
            <v>5</v>
          </cell>
          <cell r="G70">
            <v>0.16669999999999999</v>
          </cell>
          <cell r="H70">
            <v>373.82</v>
          </cell>
          <cell r="I70">
            <v>10.9</v>
          </cell>
          <cell r="J70">
            <v>4.7</v>
          </cell>
          <cell r="K70">
            <v>15.1</v>
          </cell>
          <cell r="L70">
            <v>0.80735694257485757</v>
          </cell>
          <cell r="M70">
            <v>0.05</v>
          </cell>
          <cell r="N70">
            <v>2.5054097125782005E-3</v>
          </cell>
          <cell r="O70">
            <v>0.04</v>
          </cell>
          <cell r="P70">
            <v>7.0000000000000007E-2</v>
          </cell>
          <cell r="Q70">
            <v>4.9099999999999998E-2</v>
          </cell>
          <cell r="R70">
            <v>1.6E-2</v>
          </cell>
          <cell r="S70">
            <v>3.2000000000000001E-2</v>
          </cell>
        </row>
        <row r="71">
          <cell r="A71">
            <v>52002</v>
          </cell>
          <cell r="B71" t="str">
            <v>Fuji</v>
          </cell>
          <cell r="C71" t="str">
            <v>10 B  / 40g</v>
          </cell>
          <cell r="D71">
            <v>40</v>
          </cell>
          <cell r="E71">
            <v>48</v>
          </cell>
          <cell r="F71">
            <v>10</v>
          </cell>
          <cell r="G71">
            <v>0.14169999999999999</v>
          </cell>
          <cell r="H71">
            <v>385.03</v>
          </cell>
          <cell r="I71">
            <v>10.9</v>
          </cell>
          <cell r="J71">
            <v>4.7</v>
          </cell>
          <cell r="K71">
            <v>15.1</v>
          </cell>
          <cell r="L71">
            <v>0.80735694257485757</v>
          </cell>
          <cell r="M71">
            <v>0.05</v>
          </cell>
          <cell r="N71">
            <v>2.5054097125782005E-3</v>
          </cell>
          <cell r="O71">
            <v>0.04</v>
          </cell>
          <cell r="P71">
            <v>7.0000000000000007E-2</v>
          </cell>
          <cell r="Q71">
            <v>4.7500000000000001E-2</v>
          </cell>
          <cell r="R71">
            <v>2.4E-2</v>
          </cell>
          <cell r="S71">
            <v>1.0999999999999999E-2</v>
          </cell>
        </row>
        <row r="72">
          <cell r="A72">
            <v>52003</v>
          </cell>
          <cell r="B72" t="str">
            <v>Fuji</v>
          </cell>
          <cell r="C72" t="str">
            <v>5 B  / 20g</v>
          </cell>
          <cell r="D72">
            <v>20</v>
          </cell>
          <cell r="E72">
            <v>96</v>
          </cell>
          <cell r="F72">
            <v>5</v>
          </cell>
          <cell r="G72">
            <v>0.16669999999999999</v>
          </cell>
          <cell r="H72">
            <v>373.82</v>
          </cell>
          <cell r="I72">
            <v>10.9</v>
          </cell>
          <cell r="J72">
            <v>4.7</v>
          </cell>
          <cell r="K72">
            <v>15.1</v>
          </cell>
          <cell r="L72">
            <v>0.80735694257485757</v>
          </cell>
          <cell r="M72">
            <v>0.05</v>
          </cell>
          <cell r="N72">
            <v>2.5054097125782005E-3</v>
          </cell>
          <cell r="O72">
            <v>0.04</v>
          </cell>
          <cell r="P72">
            <v>7.0000000000000007E-2</v>
          </cell>
          <cell r="Q72">
            <v>4.9099999999999998E-2</v>
          </cell>
          <cell r="R72">
            <v>1.6E-2</v>
          </cell>
          <cell r="S72">
            <v>3.2000000000000001E-2</v>
          </cell>
        </row>
        <row r="73">
          <cell r="A73">
            <v>52004</v>
          </cell>
          <cell r="B73" t="str">
            <v>Fuji</v>
          </cell>
          <cell r="C73" t="str">
            <v>10 B  / 45g</v>
          </cell>
          <cell r="D73">
            <v>45</v>
          </cell>
          <cell r="E73">
            <v>48</v>
          </cell>
          <cell r="F73">
            <v>10</v>
          </cell>
          <cell r="G73">
            <v>0.14169999999999999</v>
          </cell>
          <cell r="H73">
            <v>385.03</v>
          </cell>
          <cell r="I73">
            <v>10.9</v>
          </cell>
          <cell r="J73">
            <v>4.7</v>
          </cell>
          <cell r="K73">
            <v>15.1</v>
          </cell>
          <cell r="L73">
            <v>0.80735694257485757</v>
          </cell>
          <cell r="M73">
            <v>0.05</v>
          </cell>
          <cell r="N73">
            <v>2.5054097125782005E-3</v>
          </cell>
          <cell r="O73">
            <v>0.04</v>
          </cell>
          <cell r="P73">
            <v>7.0000000000000007E-2</v>
          </cell>
          <cell r="Q73">
            <v>4.7500000000000001E-2</v>
          </cell>
          <cell r="R73">
            <v>2.4E-2</v>
          </cell>
          <cell r="S73">
            <v>1.0999999999999999E-2</v>
          </cell>
        </row>
        <row r="74">
          <cell r="A74">
            <v>52005</v>
          </cell>
          <cell r="B74" t="str">
            <v>Fuji</v>
          </cell>
          <cell r="C74" t="str">
            <v>5 B  / 40g</v>
          </cell>
          <cell r="D74">
            <v>40</v>
          </cell>
          <cell r="E74">
            <v>72</v>
          </cell>
          <cell r="F74">
            <v>5</v>
          </cell>
          <cell r="G74">
            <v>0.16669999999999999</v>
          </cell>
          <cell r="H74">
            <v>280.36</v>
          </cell>
          <cell r="I74">
            <v>10.9</v>
          </cell>
          <cell r="J74">
            <v>4.7</v>
          </cell>
          <cell r="K74">
            <v>15.1</v>
          </cell>
          <cell r="L74">
            <v>0.80735694257485757</v>
          </cell>
          <cell r="M74">
            <v>0.05</v>
          </cell>
          <cell r="N74">
            <v>2.5054097125782005E-3</v>
          </cell>
          <cell r="O74">
            <v>0.04</v>
          </cell>
          <cell r="P74">
            <v>7.0000000000000007E-2</v>
          </cell>
          <cell r="Q74">
            <v>0.09</v>
          </cell>
          <cell r="R74">
            <v>5.0000000000000001E-3</v>
          </cell>
          <cell r="S74">
            <v>1.0999999999999999E-2</v>
          </cell>
        </row>
        <row r="75">
          <cell r="A75">
            <v>53001</v>
          </cell>
          <cell r="B75" t="str">
            <v>Big Ben</v>
          </cell>
          <cell r="C75" t="str">
            <v>5 B  / 25g</v>
          </cell>
          <cell r="D75">
            <v>25</v>
          </cell>
          <cell r="E75">
            <v>72</v>
          </cell>
          <cell r="F75">
            <v>5</v>
          </cell>
          <cell r="G75">
            <v>0.16669999999999999</v>
          </cell>
          <cell r="H75">
            <v>280.36</v>
          </cell>
          <cell r="I75">
            <v>33.6</v>
          </cell>
          <cell r="J75">
            <v>4.7</v>
          </cell>
          <cell r="K75">
            <v>15.1</v>
          </cell>
          <cell r="L75">
            <v>0.80735694257485757</v>
          </cell>
          <cell r="M75">
            <v>0.05</v>
          </cell>
          <cell r="N75">
            <v>2.5054097125782005E-3</v>
          </cell>
          <cell r="O75">
            <v>0.04</v>
          </cell>
          <cell r="P75">
            <v>7.0000000000000007E-2</v>
          </cell>
          <cell r="Q75">
            <v>0.1</v>
          </cell>
          <cell r="R75">
            <v>5.0000000000000001E-3</v>
          </cell>
          <cell r="S75">
            <v>2.5000000000000001E-2</v>
          </cell>
        </row>
        <row r="76">
          <cell r="A76">
            <v>53002</v>
          </cell>
          <cell r="B76" t="str">
            <v>Big Ben</v>
          </cell>
          <cell r="C76" t="str">
            <v>5 B  / 30g</v>
          </cell>
          <cell r="D76">
            <v>30</v>
          </cell>
          <cell r="E76">
            <v>72</v>
          </cell>
          <cell r="F76">
            <v>5</v>
          </cell>
          <cell r="G76">
            <v>0.16669999999999999</v>
          </cell>
          <cell r="H76">
            <v>280.36</v>
          </cell>
          <cell r="I76">
            <v>33.6</v>
          </cell>
          <cell r="J76">
            <v>4.7</v>
          </cell>
          <cell r="K76">
            <v>15.1</v>
          </cell>
          <cell r="L76">
            <v>0.80735694257485757</v>
          </cell>
          <cell r="M76">
            <v>0.05</v>
          </cell>
          <cell r="N76">
            <v>2.5054097125782005E-3</v>
          </cell>
          <cell r="O76">
            <v>0.04</v>
          </cell>
          <cell r="P76">
            <v>7.0000000000000007E-2</v>
          </cell>
          <cell r="Q76">
            <v>0.1</v>
          </cell>
          <cell r="R76">
            <v>5.0000000000000001E-3</v>
          </cell>
          <cell r="S76">
            <v>2.5000000000000001E-2</v>
          </cell>
        </row>
      </sheetData>
      <sheetData sheetId="2" refreshError="1">
        <row r="2">
          <cell r="A2" t="str">
            <v>Code</v>
          </cell>
          <cell r="B2" t="str">
            <v>Description</v>
          </cell>
          <cell r="C2" t="str">
            <v>Waste</v>
          </cell>
          <cell r="D2" t="str">
            <v>Unit Price</v>
          </cell>
        </row>
        <row r="3">
          <cell r="D3" t="str">
            <v>(Bht./kg)</v>
          </cell>
        </row>
        <row r="4">
          <cell r="A4">
            <v>10000</v>
          </cell>
          <cell r="B4" t="str">
            <v>Raw Material</v>
          </cell>
        </row>
        <row r="5">
          <cell r="A5">
            <v>10001</v>
          </cell>
          <cell r="B5" t="str">
            <v>Potato</v>
          </cell>
          <cell r="C5">
            <v>0.2</v>
          </cell>
          <cell r="D5">
            <v>16.5</v>
          </cell>
        </row>
        <row r="6">
          <cell r="A6">
            <v>10002</v>
          </cell>
          <cell r="B6" t="str">
            <v>Corn Meal - FCP</v>
          </cell>
          <cell r="C6">
            <v>0.11600000000000001</v>
          </cell>
          <cell r="D6">
            <v>10.1</v>
          </cell>
        </row>
        <row r="7">
          <cell r="A7">
            <v>10003</v>
          </cell>
          <cell r="B7" t="str">
            <v>Corn Meal - BCP</v>
          </cell>
          <cell r="C7">
            <v>0.11600000000000001</v>
          </cell>
          <cell r="D7">
            <v>10.1</v>
          </cell>
        </row>
        <row r="8">
          <cell r="A8">
            <v>10004</v>
          </cell>
          <cell r="B8" t="str">
            <v>Pellet 3D's Corn</v>
          </cell>
          <cell r="C8">
            <v>0.13400000000000001</v>
          </cell>
          <cell r="D8">
            <v>30.4</v>
          </cell>
        </row>
        <row r="9">
          <cell r="A9">
            <v>10005</v>
          </cell>
          <cell r="B9" t="str">
            <v>Pellet 3D's Perf.</v>
          </cell>
          <cell r="C9">
            <v>0.09</v>
          </cell>
          <cell r="D9">
            <v>25.32</v>
          </cell>
        </row>
        <row r="10">
          <cell r="A10">
            <v>10006</v>
          </cell>
          <cell r="B10" t="str">
            <v>Broken Rice</v>
          </cell>
          <cell r="C10">
            <v>0.153</v>
          </cell>
          <cell r="D10">
            <v>10</v>
          </cell>
        </row>
        <row r="11">
          <cell r="A11">
            <v>10007</v>
          </cell>
          <cell r="B11" t="str">
            <v>Pellet - Tawan</v>
          </cell>
          <cell r="C11">
            <v>6.6000000000000003E-2</v>
          </cell>
          <cell r="D11">
            <v>14.069240362545658</v>
          </cell>
        </row>
        <row r="12">
          <cell r="A12">
            <v>10008</v>
          </cell>
          <cell r="B12" t="str">
            <v>Milano - Big Ben</v>
          </cell>
          <cell r="C12">
            <v>6.6000000000000003E-2</v>
          </cell>
          <cell r="D12">
            <v>14.48</v>
          </cell>
        </row>
        <row r="13">
          <cell r="A13">
            <v>10009</v>
          </cell>
          <cell r="B13" t="str">
            <v>Rice Meal - Fuji</v>
          </cell>
          <cell r="C13">
            <v>0.153</v>
          </cell>
          <cell r="D13">
            <v>13</v>
          </cell>
        </row>
        <row r="14">
          <cell r="A14">
            <v>10010</v>
          </cell>
        </row>
        <row r="15">
          <cell r="A15">
            <v>20000</v>
          </cell>
          <cell r="B15" t="str">
            <v>Oil</v>
          </cell>
        </row>
        <row r="16">
          <cell r="A16">
            <v>20001</v>
          </cell>
          <cell r="B16" t="str">
            <v>Oil - PC</v>
          </cell>
          <cell r="C16">
            <v>0.10100000000000001</v>
          </cell>
          <cell r="D16">
            <v>20.350000000000001</v>
          </cell>
        </row>
        <row r="17">
          <cell r="A17">
            <v>20002</v>
          </cell>
          <cell r="B17" t="str">
            <v>Oil - Cheetos FCP</v>
          </cell>
          <cell r="C17">
            <v>9.5000000000000001E-2</v>
          </cell>
          <cell r="D17">
            <v>20.350000000000001</v>
          </cell>
        </row>
        <row r="18">
          <cell r="A18">
            <v>20003</v>
          </cell>
          <cell r="B18" t="str">
            <v>Oil - Cheetos BCP</v>
          </cell>
          <cell r="C18">
            <v>9.5000000000000001E-2</v>
          </cell>
          <cell r="D18">
            <v>20.350000000000001</v>
          </cell>
        </row>
        <row r="19">
          <cell r="A19">
            <v>20004</v>
          </cell>
          <cell r="B19" t="str">
            <v>Oil - 3D's Corn</v>
          </cell>
          <cell r="C19">
            <v>9.5000000000000001E-2</v>
          </cell>
          <cell r="D19">
            <v>20.350000000000001</v>
          </cell>
        </row>
        <row r="20">
          <cell r="A20">
            <v>20005</v>
          </cell>
          <cell r="B20" t="str">
            <v>Oil - 3D's Perf.</v>
          </cell>
          <cell r="C20">
            <v>9.5000000000000001E-2</v>
          </cell>
          <cell r="D20">
            <v>20.350000000000001</v>
          </cell>
        </row>
        <row r="21">
          <cell r="A21">
            <v>20006</v>
          </cell>
          <cell r="B21" t="str">
            <v>Oil - Twisties</v>
          </cell>
          <cell r="C21">
            <v>7.4999999999999997E-2</v>
          </cell>
          <cell r="D21">
            <v>20.350000000000001</v>
          </cell>
        </row>
        <row r="22">
          <cell r="A22">
            <v>20007</v>
          </cell>
          <cell r="B22" t="str">
            <v>Oil - Tawan</v>
          </cell>
          <cell r="C22">
            <v>9.5000000000000001E-2</v>
          </cell>
          <cell r="D22">
            <v>20.350000000000001</v>
          </cell>
        </row>
        <row r="23">
          <cell r="A23">
            <v>20008</v>
          </cell>
          <cell r="B23" t="str">
            <v>Oil - Big Ben</v>
          </cell>
          <cell r="C23">
            <v>9.5000000000000001E-2</v>
          </cell>
          <cell r="D23">
            <v>20.350000000000001</v>
          </cell>
        </row>
        <row r="24">
          <cell r="A24">
            <v>20009</v>
          </cell>
          <cell r="B24" t="str">
            <v>Oil - Fuji</v>
          </cell>
          <cell r="C24">
            <v>0.05</v>
          </cell>
          <cell r="D24">
            <v>20.25</v>
          </cell>
        </row>
        <row r="25">
          <cell r="A25">
            <v>20010</v>
          </cell>
          <cell r="B25" t="str">
            <v>Oil - Base</v>
          </cell>
          <cell r="C25">
            <v>0.10100000000000001</v>
          </cell>
          <cell r="D25">
            <v>20.350000000000001</v>
          </cell>
        </row>
        <row r="26">
          <cell r="A26">
            <v>20011</v>
          </cell>
          <cell r="B26" t="str">
            <v>Oil - Spray</v>
          </cell>
          <cell r="C26">
            <v>0.15</v>
          </cell>
          <cell r="D26">
            <v>20.350000000000001</v>
          </cell>
        </row>
        <row r="27">
          <cell r="A27">
            <v>30000</v>
          </cell>
          <cell r="B27" t="str">
            <v>Seasoning</v>
          </cell>
        </row>
        <row r="28">
          <cell r="A28">
            <v>31000</v>
          </cell>
          <cell r="B28" t="str">
            <v>Lay's</v>
          </cell>
          <cell r="C28">
            <v>8.3000000000000004E-2</v>
          </cell>
          <cell r="D28">
            <v>6.5</v>
          </cell>
        </row>
        <row r="29">
          <cell r="A29">
            <v>31001</v>
          </cell>
          <cell r="B29" t="str">
            <v>PC Salt</v>
          </cell>
          <cell r="C29">
            <v>8.3000000000000004E-2</v>
          </cell>
          <cell r="D29">
            <v>6.5</v>
          </cell>
        </row>
        <row r="30">
          <cell r="A30">
            <v>31002</v>
          </cell>
          <cell r="B30" t="str">
            <v>TEX BBQ</v>
          </cell>
          <cell r="C30">
            <v>8.3000000000000004E-2</v>
          </cell>
          <cell r="D30">
            <v>129</v>
          </cell>
        </row>
        <row r="31">
          <cell r="A31">
            <v>31003</v>
          </cell>
          <cell r="B31" t="str">
            <v>C&amp;O</v>
          </cell>
          <cell r="C31">
            <v>8.3000000000000004E-2</v>
          </cell>
          <cell r="D31">
            <v>140</v>
          </cell>
        </row>
        <row r="32">
          <cell r="A32">
            <v>31004</v>
          </cell>
          <cell r="B32" t="str">
            <v>CHK Rock</v>
          </cell>
          <cell r="C32">
            <v>8.3000000000000004E-2</v>
          </cell>
          <cell r="D32">
            <v>170</v>
          </cell>
        </row>
        <row r="33">
          <cell r="A33">
            <v>31005</v>
          </cell>
          <cell r="B33" t="str">
            <v>Heinz</v>
          </cell>
          <cell r="C33">
            <v>8.3000000000000004E-2</v>
          </cell>
          <cell r="D33">
            <v>130</v>
          </cell>
        </row>
        <row r="34">
          <cell r="A34">
            <v>31006</v>
          </cell>
          <cell r="B34" t="str">
            <v>SWB</v>
          </cell>
          <cell r="C34">
            <v>8.3000000000000004E-2</v>
          </cell>
          <cell r="D34">
            <v>165</v>
          </cell>
        </row>
        <row r="35">
          <cell r="A35">
            <v>31007</v>
          </cell>
          <cell r="B35" t="str">
            <v>Seaweed</v>
          </cell>
          <cell r="C35">
            <v>8.3000000000000004E-2</v>
          </cell>
          <cell r="D35">
            <v>250</v>
          </cell>
        </row>
        <row r="36">
          <cell r="A36">
            <v>31008</v>
          </cell>
          <cell r="B36" t="str">
            <v>Mex BBQ</v>
          </cell>
          <cell r="C36">
            <v>8.3000000000000004E-2</v>
          </cell>
          <cell r="D36">
            <v>125</v>
          </cell>
        </row>
        <row r="37">
          <cell r="A37">
            <v>31009</v>
          </cell>
          <cell r="B37" t="str">
            <v>SC&amp;O</v>
          </cell>
          <cell r="C37">
            <v>8.3000000000000004E-2</v>
          </cell>
          <cell r="D37">
            <v>140</v>
          </cell>
        </row>
        <row r="38">
          <cell r="A38">
            <v>31010</v>
          </cell>
          <cell r="B38" t="str">
            <v>CHK Supreme</v>
          </cell>
          <cell r="C38">
            <v>8.3000000000000004E-2</v>
          </cell>
          <cell r="D38">
            <v>197.1</v>
          </cell>
        </row>
        <row r="39">
          <cell r="A39">
            <v>31011</v>
          </cell>
          <cell r="B39" t="str">
            <v>Smile Bit</v>
          </cell>
          <cell r="C39">
            <v>8.3000000000000004E-2</v>
          </cell>
          <cell r="D39">
            <v>330</v>
          </cell>
        </row>
        <row r="40">
          <cell r="A40">
            <v>31012</v>
          </cell>
          <cell r="B40" t="str">
            <v>Prik Pao Prung Ros</v>
          </cell>
          <cell r="C40">
            <v>8.3000000000000004E-2</v>
          </cell>
          <cell r="D40">
            <v>160</v>
          </cell>
        </row>
        <row r="41">
          <cell r="A41">
            <v>31013</v>
          </cell>
          <cell r="B41" t="str">
            <v>Meing Kham Krob Ros</v>
          </cell>
          <cell r="C41">
            <v>8.3000000000000004E-2</v>
          </cell>
          <cell r="D41">
            <v>170</v>
          </cell>
        </row>
        <row r="42">
          <cell r="A42">
            <v>31014</v>
          </cell>
          <cell r="B42" t="str">
            <v>Krob Krieng Tom Yum</v>
          </cell>
          <cell r="C42">
            <v>8.3000000000000004E-2</v>
          </cell>
          <cell r="D42">
            <v>188</v>
          </cell>
        </row>
        <row r="43">
          <cell r="A43">
            <v>31015</v>
          </cell>
          <cell r="B43" t="str">
            <v>Smile PPPR</v>
          </cell>
          <cell r="C43">
            <v>0.15</v>
          </cell>
          <cell r="D43">
            <v>330</v>
          </cell>
        </row>
        <row r="44">
          <cell r="A44">
            <v>31016</v>
          </cell>
          <cell r="B44" t="str">
            <v>Smile MKKR</v>
          </cell>
          <cell r="C44">
            <v>0.15</v>
          </cell>
          <cell r="D44">
            <v>270</v>
          </cell>
        </row>
        <row r="45">
          <cell r="A45">
            <v>31017</v>
          </cell>
          <cell r="B45" t="str">
            <v>Smile KKTY</v>
          </cell>
          <cell r="C45">
            <v>0.15</v>
          </cell>
          <cell r="D45">
            <v>290</v>
          </cell>
        </row>
        <row r="46">
          <cell r="A46">
            <v>32000</v>
          </cell>
          <cell r="B46" t="str">
            <v>Cheetos</v>
          </cell>
          <cell r="C46">
            <v>8.5999999999999993E-2</v>
          </cell>
          <cell r="D46">
            <v>140</v>
          </cell>
        </row>
        <row r="47">
          <cell r="A47">
            <v>32101</v>
          </cell>
          <cell r="B47" t="str">
            <v>AM Cheese</v>
          </cell>
          <cell r="C47">
            <v>8.5999999999999993E-2</v>
          </cell>
          <cell r="D47">
            <v>170</v>
          </cell>
        </row>
        <row r="48">
          <cell r="A48">
            <v>32102</v>
          </cell>
          <cell r="B48" t="str">
            <v>SHD</v>
          </cell>
          <cell r="C48">
            <v>8.5999999999999993E-2</v>
          </cell>
          <cell r="D48">
            <v>158</v>
          </cell>
        </row>
        <row r="49">
          <cell r="A49">
            <v>32103</v>
          </cell>
          <cell r="B49" t="str">
            <v>NEW 1</v>
          </cell>
          <cell r="C49">
            <v>8.5999999999999993E-2</v>
          </cell>
          <cell r="D49">
            <v>158</v>
          </cell>
        </row>
        <row r="50">
          <cell r="A50">
            <v>32201</v>
          </cell>
          <cell r="B50" t="str">
            <v>Roasted Corn</v>
          </cell>
          <cell r="C50">
            <v>8.5999999999999993E-2</v>
          </cell>
          <cell r="D50">
            <v>135</v>
          </cell>
        </row>
        <row r="51">
          <cell r="A51">
            <v>32202</v>
          </cell>
          <cell r="B51" t="str">
            <v>Butter Corn</v>
          </cell>
          <cell r="C51">
            <v>8.5999999999999993E-2</v>
          </cell>
          <cell r="D51">
            <v>140</v>
          </cell>
        </row>
        <row r="52">
          <cell r="A52">
            <v>32203</v>
          </cell>
          <cell r="B52" t="str">
            <v>Pizza</v>
          </cell>
          <cell r="C52">
            <v>8.5999999999999993E-2</v>
          </cell>
          <cell r="D52">
            <v>140</v>
          </cell>
        </row>
        <row r="53">
          <cell r="A53">
            <v>32204</v>
          </cell>
          <cell r="B53" t="str">
            <v>Sccocer</v>
          </cell>
          <cell r="C53">
            <v>8.5999999999999993E-2</v>
          </cell>
          <cell r="D53">
            <v>140</v>
          </cell>
        </row>
        <row r="54">
          <cell r="A54">
            <v>33000</v>
          </cell>
          <cell r="B54" t="str">
            <v>Twisties</v>
          </cell>
          <cell r="C54">
            <v>0.12</v>
          </cell>
          <cell r="D54">
            <v>237.61</v>
          </cell>
        </row>
        <row r="55">
          <cell r="A55">
            <v>33001</v>
          </cell>
          <cell r="B55" t="str">
            <v>Cheese</v>
          </cell>
          <cell r="C55">
            <v>7.0999999999999994E-2</v>
          </cell>
          <cell r="D55">
            <v>125</v>
          </cell>
        </row>
        <row r="56">
          <cell r="A56">
            <v>33002</v>
          </cell>
          <cell r="B56" t="str">
            <v>Chicken</v>
          </cell>
          <cell r="C56">
            <v>7.0999999999999994E-2</v>
          </cell>
          <cell r="D56">
            <v>105</v>
          </cell>
        </row>
        <row r="57">
          <cell r="A57">
            <v>33003</v>
          </cell>
          <cell r="B57" t="str">
            <v>Paprika</v>
          </cell>
          <cell r="C57">
            <v>7.0999999999999994E-2</v>
          </cell>
          <cell r="D57">
            <v>130</v>
          </cell>
        </row>
        <row r="58">
          <cell r="A58">
            <v>34000</v>
          </cell>
          <cell r="B58" t="str">
            <v>3D's</v>
          </cell>
          <cell r="C58">
            <v>0.12</v>
          </cell>
          <cell r="D58">
            <v>140</v>
          </cell>
        </row>
        <row r="59">
          <cell r="A59">
            <v>34101</v>
          </cell>
          <cell r="B59" t="str">
            <v>Hot Grill</v>
          </cell>
          <cell r="C59">
            <v>0.12</v>
          </cell>
          <cell r="D59">
            <v>125</v>
          </cell>
        </row>
        <row r="60">
          <cell r="A60">
            <v>34102</v>
          </cell>
          <cell r="B60" t="str">
            <v>Sweet Pep</v>
          </cell>
          <cell r="C60">
            <v>0.12</v>
          </cell>
          <cell r="D60">
            <v>237.61</v>
          </cell>
        </row>
        <row r="61">
          <cell r="A61">
            <v>34103</v>
          </cell>
          <cell r="B61" t="str">
            <v>Honey BBQ</v>
          </cell>
          <cell r="C61">
            <v>0.12</v>
          </cell>
          <cell r="D61">
            <v>178.9</v>
          </cell>
        </row>
        <row r="62">
          <cell r="A62">
            <v>34104</v>
          </cell>
          <cell r="B62" t="str">
            <v>Smoky Cheese</v>
          </cell>
          <cell r="C62">
            <v>0.12</v>
          </cell>
          <cell r="D62">
            <v>140</v>
          </cell>
        </row>
        <row r="63">
          <cell r="A63">
            <v>34201</v>
          </cell>
          <cell r="B63" t="str">
            <v>CHK Ceasar</v>
          </cell>
          <cell r="C63">
            <v>0.12</v>
          </cell>
          <cell r="D63">
            <v>140</v>
          </cell>
        </row>
        <row r="64">
          <cell r="A64">
            <v>34202</v>
          </cell>
          <cell r="B64" t="str">
            <v>Dance Chilli</v>
          </cell>
          <cell r="C64">
            <v>0.12</v>
          </cell>
          <cell r="D64">
            <v>140</v>
          </cell>
        </row>
        <row r="65">
          <cell r="A65">
            <v>35000</v>
          </cell>
          <cell r="B65" t="str">
            <v>Tawan</v>
          </cell>
          <cell r="C65">
            <v>0.11</v>
          </cell>
          <cell r="D65">
            <v>120</v>
          </cell>
        </row>
      </sheetData>
      <sheetData sheetId="3" refreshError="1">
        <row r="2">
          <cell r="A2" t="str">
            <v>Code</v>
          </cell>
          <cell r="B2" t="str">
            <v>Description</v>
          </cell>
          <cell r="C2" t="str">
            <v>Height</v>
          </cell>
          <cell r="D2" t="str">
            <v>Waste</v>
          </cell>
          <cell r="E2" t="str">
            <v>Unit Price</v>
          </cell>
          <cell r="F2" t="str">
            <v>Cost/bag</v>
          </cell>
        </row>
        <row r="3">
          <cell r="C3" t="str">
            <v>(mm.)</v>
          </cell>
          <cell r="D3" t="str">
            <v>%</v>
          </cell>
          <cell r="F3" t="str">
            <v>@ 0% waste</v>
          </cell>
        </row>
        <row r="4">
          <cell r="A4">
            <v>10000</v>
          </cell>
          <cell r="B4" t="str">
            <v>Film</v>
          </cell>
        </row>
        <row r="5">
          <cell r="A5">
            <v>11000</v>
          </cell>
          <cell r="B5" t="str">
            <v>Film Lay's</v>
          </cell>
        </row>
        <row r="6">
          <cell r="A6">
            <v>11001</v>
          </cell>
          <cell r="B6" t="str">
            <v>Film 18g (320 x 160 mm)</v>
          </cell>
          <cell r="C6">
            <v>160</v>
          </cell>
          <cell r="D6">
            <v>1.55E-2</v>
          </cell>
          <cell r="E6">
            <v>3857</v>
          </cell>
          <cell r="F6">
            <v>0.61712</v>
          </cell>
        </row>
        <row r="7">
          <cell r="A7">
            <v>11002</v>
          </cell>
          <cell r="B7" t="str">
            <v>Film 66g (354 x 255 mm)</v>
          </cell>
          <cell r="C7">
            <v>255</v>
          </cell>
          <cell r="D7">
            <v>1.55E-2</v>
          </cell>
          <cell r="E7">
            <v>4267</v>
          </cell>
          <cell r="F7">
            <v>1.088085</v>
          </cell>
        </row>
        <row r="8">
          <cell r="A8">
            <v>11003</v>
          </cell>
          <cell r="B8" t="str">
            <v>Film 100g (404 x 280 mm)</v>
          </cell>
          <cell r="C8">
            <v>280</v>
          </cell>
          <cell r="D8">
            <v>1.55E-2</v>
          </cell>
          <cell r="E8">
            <v>4810</v>
          </cell>
          <cell r="F8">
            <v>1.3468</v>
          </cell>
        </row>
        <row r="9">
          <cell r="A9">
            <v>11004</v>
          </cell>
          <cell r="B9" t="str">
            <v>Film 150g (484 x 305 mm)</v>
          </cell>
          <cell r="C9">
            <v>305</v>
          </cell>
          <cell r="D9">
            <v>1.55E-2</v>
          </cell>
          <cell r="E9">
            <v>5925</v>
          </cell>
          <cell r="F9">
            <v>1.8071249999999999</v>
          </cell>
        </row>
        <row r="10">
          <cell r="A10">
            <v>11005</v>
          </cell>
          <cell r="B10" t="str">
            <v>Film 21g (320 x 175 mm)-Rock</v>
          </cell>
          <cell r="C10">
            <v>175</v>
          </cell>
          <cell r="D10">
            <v>1.55E-2</v>
          </cell>
          <cell r="E10">
            <v>3857</v>
          </cell>
          <cell r="F10">
            <v>0.67497499999999999</v>
          </cell>
        </row>
        <row r="11">
          <cell r="A11">
            <v>11006</v>
          </cell>
          <cell r="B11" t="str">
            <v>Film 72g (404 x 255 mm)</v>
          </cell>
          <cell r="C11">
            <v>255</v>
          </cell>
          <cell r="D11">
            <v>1.55E-2</v>
          </cell>
          <cell r="E11">
            <v>4810</v>
          </cell>
          <cell r="F11">
            <v>1.22655</v>
          </cell>
        </row>
        <row r="12">
          <cell r="A12">
            <v>11007</v>
          </cell>
          <cell r="B12" t="str">
            <v>Film 21g (320 x 180 mm)-Flat</v>
          </cell>
          <cell r="C12">
            <v>180</v>
          </cell>
          <cell r="D12">
            <v>1.55E-2</v>
          </cell>
          <cell r="E12">
            <v>3857</v>
          </cell>
          <cell r="F12">
            <v>0.69425999999999999</v>
          </cell>
        </row>
        <row r="13">
          <cell r="A13">
            <v>11008</v>
          </cell>
          <cell r="B13" t="str">
            <v>Film 30g (320 x 200 mm) - Smile</v>
          </cell>
          <cell r="C13">
            <v>200</v>
          </cell>
          <cell r="D13">
            <v>1.55E-2</v>
          </cell>
          <cell r="E13">
            <v>3857</v>
          </cell>
          <cell r="F13">
            <v>0.77140000000000009</v>
          </cell>
        </row>
        <row r="14">
          <cell r="A14">
            <v>11009</v>
          </cell>
          <cell r="B14" t="str">
            <v>Film 80g (404 x 265 mm) - Smile</v>
          </cell>
          <cell r="C14">
            <v>265</v>
          </cell>
          <cell r="D14">
            <v>1.55E-2</v>
          </cell>
          <cell r="E14">
            <v>4810</v>
          </cell>
          <cell r="F14">
            <v>1.2746500000000001</v>
          </cell>
        </row>
        <row r="15">
          <cell r="A15">
            <v>11010</v>
          </cell>
          <cell r="B15" t="str">
            <v>Film 24g (320 x 175 mm)</v>
          </cell>
          <cell r="C15">
            <v>175</v>
          </cell>
          <cell r="D15">
            <v>1.55E-2</v>
          </cell>
          <cell r="E15">
            <v>3857</v>
          </cell>
          <cell r="F15">
            <v>0.67497499999999999</v>
          </cell>
        </row>
        <row r="16">
          <cell r="A16">
            <v>11011</v>
          </cell>
          <cell r="B16" t="str">
            <v>Film 80g (354 x 265 mm)</v>
          </cell>
          <cell r="C16">
            <v>265</v>
          </cell>
          <cell r="D16">
            <v>1.55E-2</v>
          </cell>
          <cell r="E16">
            <v>4310</v>
          </cell>
          <cell r="F16">
            <v>1.14215</v>
          </cell>
        </row>
        <row r="17">
          <cell r="A17">
            <v>11012</v>
          </cell>
          <cell r="B17" t="str">
            <v>Film 120g (404 x 325 mm)</v>
          </cell>
          <cell r="C17">
            <v>325</v>
          </cell>
          <cell r="D17">
            <v>1.55E-2</v>
          </cell>
          <cell r="E17">
            <v>4810</v>
          </cell>
          <cell r="F17">
            <v>1.56325</v>
          </cell>
        </row>
        <row r="18">
          <cell r="A18">
            <v>12000</v>
          </cell>
          <cell r="B18" t="str">
            <v>Film Cheetos</v>
          </cell>
        </row>
        <row r="19">
          <cell r="A19">
            <v>12101</v>
          </cell>
          <cell r="B19" t="str">
            <v>Film 18g (280 x 155 mm)</v>
          </cell>
          <cell r="C19">
            <v>155</v>
          </cell>
          <cell r="D19">
            <v>1.7999999999999999E-2</v>
          </cell>
          <cell r="E19">
            <v>3788</v>
          </cell>
          <cell r="F19">
            <v>0.58714</v>
          </cell>
        </row>
        <row r="20">
          <cell r="A20">
            <v>12104</v>
          </cell>
          <cell r="B20" t="str">
            <v>Film 40g (320 x 185 mm)</v>
          </cell>
          <cell r="C20">
            <v>185</v>
          </cell>
          <cell r="D20">
            <v>1.7999999999999999E-2</v>
          </cell>
          <cell r="E20">
            <v>4044</v>
          </cell>
          <cell r="F20">
            <v>0.74814000000000003</v>
          </cell>
        </row>
        <row r="21">
          <cell r="A21">
            <v>12201</v>
          </cell>
          <cell r="B21" t="str">
            <v>Film 15g (280 x 160 mm)</v>
          </cell>
          <cell r="C21">
            <v>160</v>
          </cell>
          <cell r="D21">
            <v>1.7999999999999999E-2</v>
          </cell>
          <cell r="E21">
            <v>3788</v>
          </cell>
          <cell r="F21">
            <v>0.60608000000000006</v>
          </cell>
        </row>
        <row r="22">
          <cell r="A22">
            <v>12202</v>
          </cell>
          <cell r="B22" t="str">
            <v>Film 22g (280 x 190 mm)</v>
          </cell>
          <cell r="C22">
            <v>190.00570017100512</v>
          </cell>
          <cell r="D22">
            <v>2.1999999999999999E-2</v>
          </cell>
          <cell r="E22">
            <v>4002</v>
          </cell>
          <cell r="F22">
            <v>0.76040281208436256</v>
          </cell>
        </row>
        <row r="23">
          <cell r="A23">
            <v>12203</v>
          </cell>
          <cell r="B23" t="str">
            <v>Film 45g (320 x 255 mm)</v>
          </cell>
          <cell r="C23">
            <v>255.03698036215249</v>
          </cell>
          <cell r="D23">
            <v>2.1999999999999999E-2</v>
          </cell>
          <cell r="E23">
            <v>4126</v>
          </cell>
          <cell r="F23">
            <v>1.0522825809742413</v>
          </cell>
        </row>
        <row r="24">
          <cell r="A24">
            <v>12204</v>
          </cell>
          <cell r="B24" t="str">
            <v>Film 35g (280 x 205 mm)</v>
          </cell>
          <cell r="C24">
            <v>205</v>
          </cell>
          <cell r="D24">
            <v>2.1999999999999999E-2</v>
          </cell>
          <cell r="E24">
            <v>4126</v>
          </cell>
          <cell r="F24">
            <v>0.84583000000000008</v>
          </cell>
        </row>
        <row r="25">
          <cell r="A25">
            <v>13000</v>
          </cell>
          <cell r="B25" t="str">
            <v>Film Twisties</v>
          </cell>
        </row>
        <row r="26">
          <cell r="A26">
            <v>13001</v>
          </cell>
          <cell r="B26" t="str">
            <v>Film 20g (280 x 155 mm)</v>
          </cell>
          <cell r="C26">
            <v>155</v>
          </cell>
          <cell r="D26">
            <v>1.7999999999999999E-2</v>
          </cell>
          <cell r="E26">
            <v>3538</v>
          </cell>
          <cell r="F26">
            <v>0.54838999999999993</v>
          </cell>
        </row>
        <row r="27">
          <cell r="A27">
            <v>13002</v>
          </cell>
          <cell r="B27" t="str">
            <v>Film 45g (320 x 185 mm)</v>
          </cell>
          <cell r="C27">
            <v>185</v>
          </cell>
          <cell r="D27">
            <v>1.7999999999999999E-2</v>
          </cell>
          <cell r="E27">
            <v>4253</v>
          </cell>
          <cell r="F27">
            <v>0.78680499999999998</v>
          </cell>
        </row>
        <row r="28">
          <cell r="A28">
            <v>13003</v>
          </cell>
          <cell r="B28" t="str">
            <v>Film 90g (404 x 250 mm)</v>
          </cell>
          <cell r="C28">
            <v>250</v>
          </cell>
          <cell r="D28">
            <v>1.7999999999999999E-2</v>
          </cell>
          <cell r="E28">
            <v>4380</v>
          </cell>
          <cell r="F28">
            <v>1.095</v>
          </cell>
        </row>
        <row r="29">
          <cell r="A29">
            <v>14000</v>
          </cell>
          <cell r="B29" t="str">
            <v>Film 3D's</v>
          </cell>
        </row>
        <row r="30">
          <cell r="A30">
            <v>14100</v>
          </cell>
          <cell r="B30" t="str">
            <v>3D's Corn</v>
          </cell>
        </row>
        <row r="31">
          <cell r="A31">
            <v>14101</v>
          </cell>
          <cell r="B31" t="str">
            <v>Film 18g (280 x 180 mm)</v>
          </cell>
          <cell r="C31">
            <v>180</v>
          </cell>
          <cell r="D31">
            <v>0.02</v>
          </cell>
          <cell r="E31">
            <v>3857</v>
          </cell>
          <cell r="F31">
            <v>0.69425999999999999</v>
          </cell>
        </row>
        <row r="32">
          <cell r="A32">
            <v>14102</v>
          </cell>
          <cell r="B32" t="str">
            <v>Film 36g (320 x 215 mm)</v>
          </cell>
          <cell r="C32">
            <v>215</v>
          </cell>
          <cell r="D32">
            <v>0.02</v>
          </cell>
          <cell r="E32">
            <v>4118</v>
          </cell>
          <cell r="F32">
            <v>0.88536999999999999</v>
          </cell>
        </row>
        <row r="33">
          <cell r="A33">
            <v>14103</v>
          </cell>
          <cell r="B33" t="str">
            <v>Film 75g (404 x 260 mm)</v>
          </cell>
          <cell r="C33">
            <v>260</v>
          </cell>
          <cell r="D33">
            <v>0.02</v>
          </cell>
          <cell r="E33">
            <v>5249</v>
          </cell>
          <cell r="F33">
            <v>1.3647400000000001</v>
          </cell>
        </row>
        <row r="34">
          <cell r="A34">
            <v>14200</v>
          </cell>
          <cell r="B34" t="str">
            <v>3D's Perf.</v>
          </cell>
        </row>
        <row r="35">
          <cell r="A35">
            <v>14201</v>
          </cell>
          <cell r="B35" t="str">
            <v>Film 17g (280 x 180 mm)</v>
          </cell>
          <cell r="C35">
            <v>180</v>
          </cell>
          <cell r="D35">
            <v>0.02</v>
          </cell>
          <cell r="E35">
            <v>3857</v>
          </cell>
          <cell r="F35">
            <v>0.69425999999999999</v>
          </cell>
        </row>
        <row r="36">
          <cell r="A36">
            <v>14202</v>
          </cell>
          <cell r="B36" t="str">
            <v>Film 34g (320 x 215 mm)</v>
          </cell>
          <cell r="C36">
            <v>215</v>
          </cell>
          <cell r="D36">
            <v>0.02</v>
          </cell>
          <cell r="E36">
            <v>4118</v>
          </cell>
          <cell r="F36">
            <v>0.88536999999999999</v>
          </cell>
        </row>
        <row r="37">
          <cell r="A37">
            <v>14203</v>
          </cell>
          <cell r="B37" t="str">
            <v>Film 75g (404 x 310 mm)</v>
          </cell>
          <cell r="C37">
            <v>310</v>
          </cell>
          <cell r="D37">
            <v>0.02</v>
          </cell>
          <cell r="E37">
            <v>5249</v>
          </cell>
          <cell r="F37">
            <v>1.6271900000000001</v>
          </cell>
        </row>
        <row r="38">
          <cell r="A38">
            <v>15000</v>
          </cell>
          <cell r="B38" t="str">
            <v>Tawan</v>
          </cell>
        </row>
        <row r="39">
          <cell r="A39">
            <v>15001</v>
          </cell>
          <cell r="B39" t="str">
            <v>Film 25g (320 x 235 mm)</v>
          </cell>
          <cell r="C39">
            <v>235</v>
          </cell>
          <cell r="D39">
            <v>1.6E-2</v>
          </cell>
          <cell r="E39">
            <v>3750</v>
          </cell>
          <cell r="F39">
            <v>0.88124999999999998</v>
          </cell>
        </row>
        <row r="40">
          <cell r="A40">
            <v>15002</v>
          </cell>
          <cell r="B40" t="str">
            <v>Film 55g (404 x 290 mm)</v>
          </cell>
          <cell r="C40">
            <v>290</v>
          </cell>
          <cell r="D40">
            <v>1.6E-2</v>
          </cell>
          <cell r="E40">
            <v>4900</v>
          </cell>
          <cell r="F40">
            <v>1.421</v>
          </cell>
        </row>
        <row r="41">
          <cell r="A41">
            <v>15003</v>
          </cell>
          <cell r="B41" t="str">
            <v>Film 60g (404 x 300 mm)</v>
          </cell>
          <cell r="C41">
            <v>300</v>
          </cell>
          <cell r="D41">
            <v>1.6E-2</v>
          </cell>
          <cell r="E41">
            <v>4900</v>
          </cell>
          <cell r="F41">
            <v>1.47</v>
          </cell>
        </row>
        <row r="42">
          <cell r="A42">
            <v>16000</v>
          </cell>
          <cell r="B42" t="str">
            <v>Fuji</v>
          </cell>
        </row>
        <row r="43">
          <cell r="A43">
            <v>16001</v>
          </cell>
          <cell r="B43" t="str">
            <v>Film 18g (280 x 190 mm)</v>
          </cell>
          <cell r="C43">
            <v>190</v>
          </cell>
          <cell r="D43">
            <v>1.55E-2</v>
          </cell>
          <cell r="E43">
            <v>4043</v>
          </cell>
          <cell r="F43">
            <v>0.76816999999999991</v>
          </cell>
        </row>
        <row r="44">
          <cell r="A44">
            <v>16002</v>
          </cell>
          <cell r="B44" t="str">
            <v>Film 40g (320 x 255 mm)</v>
          </cell>
          <cell r="C44">
            <v>255</v>
          </cell>
          <cell r="D44">
            <v>1.55E-2</v>
          </cell>
          <cell r="E44">
            <v>4126</v>
          </cell>
          <cell r="F44">
            <v>1.05213</v>
          </cell>
        </row>
        <row r="45">
          <cell r="A45">
            <v>16003</v>
          </cell>
          <cell r="B45" t="str">
            <v>Film 40g (320 x 235 mm)</v>
          </cell>
          <cell r="C45">
            <v>235</v>
          </cell>
          <cell r="D45">
            <v>1.6E-2</v>
          </cell>
          <cell r="E45">
            <v>3750</v>
          </cell>
          <cell r="F45">
            <v>0.88124999999999998</v>
          </cell>
        </row>
        <row r="46">
          <cell r="A46">
            <v>15400</v>
          </cell>
          <cell r="B46" t="str">
            <v>Soccer Ball</v>
          </cell>
          <cell r="C46">
            <v>180</v>
          </cell>
          <cell r="D46">
            <v>0.03</v>
          </cell>
          <cell r="E46">
            <v>315</v>
          </cell>
          <cell r="F46">
            <v>5.67E-2</v>
          </cell>
        </row>
        <row r="47">
          <cell r="A47">
            <v>15401</v>
          </cell>
          <cell r="B47" t="str">
            <v>Film 24g (280 x 175 mm)</v>
          </cell>
          <cell r="C47">
            <v>175</v>
          </cell>
          <cell r="D47">
            <v>2.1999999999999999E-2</v>
          </cell>
          <cell r="E47">
            <v>3788</v>
          </cell>
          <cell r="F47">
            <v>0.66290000000000004</v>
          </cell>
        </row>
        <row r="48">
          <cell r="A48">
            <v>15402</v>
          </cell>
          <cell r="B48" t="str">
            <v>Film 45g (320 x 225 mm)</v>
          </cell>
          <cell r="C48">
            <v>225</v>
          </cell>
          <cell r="D48">
            <v>2.1999999999999999E-2</v>
          </cell>
          <cell r="E48">
            <v>4044</v>
          </cell>
          <cell r="F48">
            <v>0.90989999999999993</v>
          </cell>
        </row>
        <row r="49">
          <cell r="A49">
            <v>20000</v>
          </cell>
          <cell r="B49" t="str">
            <v>Strip</v>
          </cell>
          <cell r="C49">
            <v>235</v>
          </cell>
          <cell r="D49">
            <v>0.03</v>
          </cell>
          <cell r="E49">
            <v>315</v>
          </cell>
          <cell r="F49">
            <v>7.4025000000000007E-2</v>
          </cell>
        </row>
        <row r="50">
          <cell r="A50">
            <v>20001</v>
          </cell>
          <cell r="B50" t="str">
            <v>Strip 180 mm</v>
          </cell>
          <cell r="C50">
            <v>180</v>
          </cell>
          <cell r="D50">
            <v>0.03</v>
          </cell>
          <cell r="E50">
            <v>315</v>
          </cell>
          <cell r="F50">
            <v>5.67E-2</v>
          </cell>
        </row>
        <row r="51">
          <cell r="A51">
            <v>20002</v>
          </cell>
          <cell r="B51" t="str">
            <v>Strip 220 mm</v>
          </cell>
          <cell r="C51">
            <v>220</v>
          </cell>
          <cell r="D51">
            <v>0.03</v>
          </cell>
          <cell r="E51">
            <v>315</v>
          </cell>
          <cell r="F51">
            <v>6.93E-2</v>
          </cell>
        </row>
        <row r="52">
          <cell r="A52">
            <v>20003</v>
          </cell>
          <cell r="B52" t="str">
            <v>Strip 260 mm</v>
          </cell>
          <cell r="C52">
            <v>260</v>
          </cell>
          <cell r="D52">
            <v>0.03</v>
          </cell>
          <cell r="E52">
            <v>315</v>
          </cell>
          <cell r="F52">
            <v>8.1900000000000001E-2</v>
          </cell>
        </row>
        <row r="53">
          <cell r="A53">
            <v>20004</v>
          </cell>
          <cell r="B53" t="str">
            <v>Strip 235 mm</v>
          </cell>
          <cell r="C53">
            <v>235</v>
          </cell>
          <cell r="D53">
            <v>0.03</v>
          </cell>
          <cell r="E53">
            <v>315</v>
          </cell>
          <cell r="F53">
            <v>7.4025000000000007E-2</v>
          </cell>
        </row>
        <row r="54">
          <cell r="A54">
            <v>20004</v>
          </cell>
          <cell r="B54" t="str">
            <v>Strip 190 mm</v>
          </cell>
          <cell r="C54">
            <v>190</v>
          </cell>
          <cell r="D54">
            <v>0.03</v>
          </cell>
          <cell r="E54">
            <v>315</v>
          </cell>
          <cell r="F54">
            <v>5.985E-2</v>
          </cell>
        </row>
        <row r="55">
          <cell r="A55">
            <v>20005</v>
          </cell>
          <cell r="B55" t="str">
            <v>Strip 205 mm</v>
          </cell>
          <cell r="C55">
            <v>205</v>
          </cell>
          <cell r="D55">
            <v>0.03</v>
          </cell>
          <cell r="E55">
            <v>315</v>
          </cell>
          <cell r="F55">
            <v>6.4575000000000007E-2</v>
          </cell>
        </row>
        <row r="56">
          <cell r="A56">
            <v>20006</v>
          </cell>
          <cell r="B56" t="str">
            <v>Strip 255 mm</v>
          </cell>
          <cell r="C56">
            <v>255</v>
          </cell>
          <cell r="D56">
            <v>0.03</v>
          </cell>
          <cell r="E56">
            <v>315</v>
          </cell>
          <cell r="F56">
            <v>8.0325000000000008E-2</v>
          </cell>
        </row>
        <row r="57">
          <cell r="A57">
            <v>20007</v>
          </cell>
          <cell r="B57" t="str">
            <v>Strip 175 mm</v>
          </cell>
          <cell r="C57">
            <v>175</v>
          </cell>
          <cell r="D57">
            <v>0.03</v>
          </cell>
          <cell r="E57">
            <v>315</v>
          </cell>
          <cell r="F57">
            <v>5.5125E-2</v>
          </cell>
        </row>
        <row r="58">
          <cell r="A58">
            <v>20008</v>
          </cell>
          <cell r="B58" t="str">
            <v>Strip 225 mm</v>
          </cell>
          <cell r="C58">
            <v>225</v>
          </cell>
          <cell r="D58">
            <v>0.03</v>
          </cell>
          <cell r="E58">
            <v>315</v>
          </cell>
          <cell r="F58">
            <v>7.0875000000000007E-2</v>
          </cell>
        </row>
        <row r="59">
          <cell r="A59">
            <v>20009</v>
          </cell>
          <cell r="B59" t="str">
            <v>Strip 290 mm</v>
          </cell>
          <cell r="C59">
            <v>290</v>
          </cell>
          <cell r="D59">
            <v>0.03</v>
          </cell>
          <cell r="E59">
            <v>315</v>
          </cell>
          <cell r="F59">
            <v>9.1350000000000001E-2</v>
          </cell>
        </row>
        <row r="60">
          <cell r="A60">
            <v>20010</v>
          </cell>
          <cell r="B60" t="str">
            <v>Strip 300 mm</v>
          </cell>
          <cell r="C60">
            <v>300</v>
          </cell>
          <cell r="D60">
            <v>0.03</v>
          </cell>
          <cell r="E60">
            <v>315</v>
          </cell>
          <cell r="F60">
            <v>9.4500000000000001E-2</v>
          </cell>
        </row>
        <row r="61">
          <cell r="A61">
            <v>30000</v>
          </cell>
          <cell r="B61" t="str">
            <v>PP Bags</v>
          </cell>
          <cell r="C61">
            <v>1</v>
          </cell>
          <cell r="D61">
            <v>3.0000000000000001E-3</v>
          </cell>
          <cell r="E61">
            <v>15.58</v>
          </cell>
          <cell r="F61">
            <v>15.58</v>
          </cell>
        </row>
        <row r="62">
          <cell r="A62">
            <v>30001</v>
          </cell>
          <cell r="B62" t="str">
            <v>PP Bag Small</v>
          </cell>
          <cell r="C62">
            <v>67</v>
          </cell>
          <cell r="D62">
            <v>7.4999999999999997E-3</v>
          </cell>
          <cell r="E62">
            <v>38</v>
          </cell>
          <cell r="F62">
            <v>0.56716417910447758</v>
          </cell>
        </row>
        <row r="63">
          <cell r="A63">
            <v>30002</v>
          </cell>
          <cell r="B63" t="str">
            <v>PP Bag Medium</v>
          </cell>
          <cell r="C63">
            <v>75</v>
          </cell>
          <cell r="D63">
            <v>7.4999999999999997E-3</v>
          </cell>
          <cell r="E63">
            <v>38</v>
          </cell>
          <cell r="F63">
            <v>0.50666666666666671</v>
          </cell>
        </row>
        <row r="64">
          <cell r="A64">
            <v>30003</v>
          </cell>
          <cell r="B64" t="str">
            <v>PP Bag Medium Sedweed</v>
          </cell>
          <cell r="C64">
            <v>67</v>
          </cell>
          <cell r="D64">
            <v>7.4999999999999997E-3</v>
          </cell>
          <cell r="E64">
            <v>38</v>
          </cell>
          <cell r="F64">
            <v>0.56716417910447758</v>
          </cell>
        </row>
        <row r="65">
          <cell r="A65">
            <v>30004</v>
          </cell>
          <cell r="B65" t="str">
            <v>PP Bag Small (17 x 17)</v>
          </cell>
          <cell r="C65">
            <v>67</v>
          </cell>
          <cell r="D65">
            <v>7.4999999999999997E-3</v>
          </cell>
          <cell r="E65">
            <v>38</v>
          </cell>
          <cell r="F65">
            <v>0.56716417910447758</v>
          </cell>
        </row>
        <row r="66">
          <cell r="A66">
            <v>30005</v>
          </cell>
          <cell r="B66" t="str">
            <v>PP Bag Medium (14.5 x 16)</v>
          </cell>
          <cell r="C66">
            <v>75</v>
          </cell>
          <cell r="D66">
            <v>7.4999999999999997E-3</v>
          </cell>
          <cell r="E66">
            <v>38</v>
          </cell>
          <cell r="F66">
            <v>0.50666666666666671</v>
          </cell>
        </row>
        <row r="67">
          <cell r="A67">
            <v>30006</v>
          </cell>
          <cell r="B67" t="str">
            <v>PP Bag Smile 30 g.</v>
          </cell>
          <cell r="C67">
            <v>110</v>
          </cell>
          <cell r="D67">
            <v>7.4999999999999997E-3</v>
          </cell>
          <cell r="E67">
            <v>45</v>
          </cell>
          <cell r="F67">
            <v>0.40909090909090912</v>
          </cell>
        </row>
        <row r="68">
          <cell r="A68">
            <v>30007</v>
          </cell>
          <cell r="B68" t="str">
            <v>PP Bag Smile 45 g.</v>
          </cell>
          <cell r="C68">
            <v>75</v>
          </cell>
          <cell r="D68">
            <v>7.4999999999999997E-3</v>
          </cell>
          <cell r="E68">
            <v>45</v>
          </cell>
          <cell r="F68">
            <v>0.6</v>
          </cell>
        </row>
        <row r="69">
          <cell r="A69">
            <v>40000</v>
          </cell>
          <cell r="B69" t="str">
            <v>OPP Tape</v>
          </cell>
          <cell r="C69">
            <v>1</v>
          </cell>
          <cell r="D69">
            <v>3.0000000000000001E-3</v>
          </cell>
          <cell r="E69">
            <v>15.58</v>
          </cell>
          <cell r="F69">
            <v>15.58</v>
          </cell>
        </row>
        <row r="70">
          <cell r="A70">
            <v>40001</v>
          </cell>
          <cell r="B70" t="str">
            <v>OPP Tape</v>
          </cell>
          <cell r="C70">
            <v>900</v>
          </cell>
          <cell r="D70">
            <v>7.4999999999999997E-3</v>
          </cell>
          <cell r="E70">
            <v>359.5</v>
          </cell>
          <cell r="F70">
            <v>0.39944444444444444</v>
          </cell>
        </row>
        <row r="71">
          <cell r="A71">
            <v>40002</v>
          </cell>
          <cell r="B71" t="str">
            <v>OPP Tape Smile</v>
          </cell>
          <cell r="C71">
            <v>900</v>
          </cell>
          <cell r="D71">
            <v>7.4999999999999997E-3</v>
          </cell>
          <cell r="E71">
            <v>359</v>
          </cell>
          <cell r="F71">
            <v>0.3988888888888889</v>
          </cell>
        </row>
        <row r="72">
          <cell r="A72">
            <v>50000</v>
          </cell>
          <cell r="B72" t="str">
            <v>Shipper</v>
          </cell>
          <cell r="C72">
            <v>1</v>
          </cell>
          <cell r="D72">
            <v>3.0000000000000001E-3</v>
          </cell>
          <cell r="E72">
            <v>12.58</v>
          </cell>
          <cell r="F72">
            <v>12.58</v>
          </cell>
        </row>
        <row r="73">
          <cell r="A73">
            <v>51000</v>
          </cell>
          <cell r="B73" t="str">
            <v>Shipper - Lay's</v>
          </cell>
          <cell r="C73">
            <v>1</v>
          </cell>
          <cell r="D73">
            <v>3.0000000000000001E-3</v>
          </cell>
          <cell r="E73">
            <v>11.26</v>
          </cell>
          <cell r="F73">
            <v>11.26</v>
          </cell>
        </row>
        <row r="74">
          <cell r="A74">
            <v>51001</v>
          </cell>
          <cell r="B74" t="str">
            <v>Shipper 18g (1 x 120)</v>
          </cell>
          <cell r="C74">
            <v>1</v>
          </cell>
          <cell r="D74">
            <v>3.0000000000000001E-3</v>
          </cell>
          <cell r="E74">
            <v>15.58</v>
          </cell>
          <cell r="F74">
            <v>15.58</v>
          </cell>
        </row>
        <row r="75">
          <cell r="A75">
            <v>51002</v>
          </cell>
          <cell r="B75" t="str">
            <v>Shipper 66g (1 x 48)</v>
          </cell>
          <cell r="C75">
            <v>1</v>
          </cell>
          <cell r="D75">
            <v>3.0000000000000001E-3</v>
          </cell>
          <cell r="E75">
            <v>13.82</v>
          </cell>
          <cell r="F75">
            <v>13.82</v>
          </cell>
        </row>
        <row r="76">
          <cell r="A76">
            <v>51003</v>
          </cell>
          <cell r="B76" t="str">
            <v>Shipper 100g (1 x 24)</v>
          </cell>
          <cell r="C76">
            <v>1</v>
          </cell>
          <cell r="D76">
            <v>3.0000000000000001E-3</v>
          </cell>
          <cell r="E76">
            <v>11.35</v>
          </cell>
          <cell r="F76">
            <v>11.35</v>
          </cell>
        </row>
        <row r="77">
          <cell r="A77">
            <v>51004</v>
          </cell>
          <cell r="B77" t="str">
            <v>Shipper 150g (1 x 18)</v>
          </cell>
          <cell r="C77">
            <v>1</v>
          </cell>
          <cell r="D77">
            <v>3.0000000000000001E-3</v>
          </cell>
          <cell r="E77">
            <v>12.52</v>
          </cell>
          <cell r="F77">
            <v>12.52</v>
          </cell>
        </row>
        <row r="78">
          <cell r="A78">
            <v>51005</v>
          </cell>
          <cell r="B78" t="str">
            <v>Shipper 21g (1 x 120)</v>
          </cell>
          <cell r="C78">
            <v>1</v>
          </cell>
          <cell r="D78">
            <v>3.0000000000000001E-3</v>
          </cell>
          <cell r="E78">
            <v>15.58</v>
          </cell>
          <cell r="F78">
            <v>15.58</v>
          </cell>
        </row>
        <row r="79">
          <cell r="A79">
            <v>51006</v>
          </cell>
          <cell r="B79" t="str">
            <v>Shipper 72g (1 x 48)</v>
          </cell>
          <cell r="C79">
            <v>1</v>
          </cell>
          <cell r="D79">
            <v>3.0000000000000001E-3</v>
          </cell>
          <cell r="E79">
            <v>16.25</v>
          </cell>
          <cell r="F79">
            <v>16.25</v>
          </cell>
        </row>
        <row r="80">
          <cell r="A80">
            <v>51008</v>
          </cell>
          <cell r="B80" t="str">
            <v>Shipper 30g (1 x 48) - Smile 330*480*300</v>
          </cell>
          <cell r="C80">
            <v>1</v>
          </cell>
          <cell r="D80">
            <v>3.0000000000000001E-3</v>
          </cell>
          <cell r="E80">
            <v>9.65</v>
          </cell>
          <cell r="F80">
            <v>9.65</v>
          </cell>
        </row>
        <row r="81">
          <cell r="A81">
            <v>51009</v>
          </cell>
          <cell r="B81" t="str">
            <v>Shipper 80g (1 x 24) - Smile 330*480*375</v>
          </cell>
          <cell r="C81">
            <v>1</v>
          </cell>
          <cell r="D81">
            <v>3.0000000000000001E-3</v>
          </cell>
          <cell r="E81">
            <v>10.8</v>
          </cell>
          <cell r="F81">
            <v>10.8</v>
          </cell>
        </row>
        <row r="82">
          <cell r="A82">
            <v>51010</v>
          </cell>
          <cell r="B82" t="str">
            <v>Shipper 24g (1 x 120)</v>
          </cell>
          <cell r="C82">
            <v>1</v>
          </cell>
          <cell r="D82">
            <v>3.0000000000000001E-3</v>
          </cell>
          <cell r="E82">
            <v>15.58</v>
          </cell>
          <cell r="F82">
            <v>15.58</v>
          </cell>
        </row>
        <row r="83">
          <cell r="A83">
            <v>51011</v>
          </cell>
          <cell r="B83" t="str">
            <v>Shipper 80g (1 x 48)</v>
          </cell>
          <cell r="C83">
            <v>1</v>
          </cell>
          <cell r="D83">
            <v>3.0000000000000001E-3</v>
          </cell>
          <cell r="E83">
            <v>18.21</v>
          </cell>
          <cell r="F83">
            <v>18.21</v>
          </cell>
        </row>
        <row r="84">
          <cell r="A84">
            <v>51012</v>
          </cell>
          <cell r="B84" t="str">
            <v>Shipper 120g (1 x 24)</v>
          </cell>
          <cell r="C84">
            <v>1</v>
          </cell>
          <cell r="D84">
            <v>3.0000000000000001E-3</v>
          </cell>
          <cell r="E84">
            <v>12.58</v>
          </cell>
          <cell r="F84">
            <v>12.58</v>
          </cell>
        </row>
        <row r="85">
          <cell r="A85">
            <v>52000</v>
          </cell>
          <cell r="B85" t="str">
            <v>Shipper - Cheetos</v>
          </cell>
          <cell r="C85">
            <v>1</v>
          </cell>
          <cell r="D85">
            <v>3.0000000000000001E-3</v>
          </cell>
          <cell r="E85">
            <v>10.44</v>
          </cell>
          <cell r="F85">
            <v>10.44</v>
          </cell>
        </row>
        <row r="86">
          <cell r="A86">
            <v>52001</v>
          </cell>
          <cell r="B86" t="str">
            <v>Shipper 18g (1 x 96)</v>
          </cell>
          <cell r="C86">
            <v>1</v>
          </cell>
          <cell r="D86">
            <v>3.0000000000000001E-3</v>
          </cell>
          <cell r="E86">
            <v>11.26</v>
          </cell>
          <cell r="F86">
            <v>11.26</v>
          </cell>
        </row>
        <row r="87">
          <cell r="A87">
            <v>52004</v>
          </cell>
          <cell r="B87" t="str">
            <v>Shipper 40g (1 x 48)</v>
          </cell>
          <cell r="C87">
            <v>1</v>
          </cell>
          <cell r="D87">
            <v>3.0000000000000001E-3</v>
          </cell>
          <cell r="E87">
            <v>9.9</v>
          </cell>
          <cell r="F87">
            <v>9.9</v>
          </cell>
        </row>
        <row r="88">
          <cell r="A88">
            <v>52005</v>
          </cell>
          <cell r="B88" t="str">
            <v>Shipper 15g (1 x 96)</v>
          </cell>
          <cell r="C88">
            <v>1</v>
          </cell>
          <cell r="D88">
            <v>3.0000000000000001E-3</v>
          </cell>
          <cell r="E88">
            <v>11.85</v>
          </cell>
          <cell r="F88">
            <v>11.85</v>
          </cell>
        </row>
        <row r="89">
          <cell r="A89">
            <v>52006</v>
          </cell>
          <cell r="B89" t="str">
            <v>Shipper 22g (1 x 96)</v>
          </cell>
          <cell r="C89">
            <v>1</v>
          </cell>
          <cell r="D89">
            <v>3.0000000000000001E-3</v>
          </cell>
          <cell r="E89">
            <v>11.85</v>
          </cell>
          <cell r="F89">
            <v>11.85</v>
          </cell>
        </row>
        <row r="90">
          <cell r="A90">
            <v>52007</v>
          </cell>
          <cell r="B90" t="str">
            <v>Shipper 35g (1 x 48)</v>
          </cell>
          <cell r="C90">
            <v>1</v>
          </cell>
          <cell r="D90">
            <v>3.0000000000000001E-3</v>
          </cell>
          <cell r="E90">
            <v>11.9</v>
          </cell>
          <cell r="F90">
            <v>11.9</v>
          </cell>
        </row>
        <row r="91">
          <cell r="A91">
            <v>52008</v>
          </cell>
          <cell r="B91" t="str">
            <v>Shipper 45g (1 x 48)</v>
          </cell>
          <cell r="C91">
            <v>1</v>
          </cell>
          <cell r="D91">
            <v>3.0000000000000001E-3</v>
          </cell>
          <cell r="E91">
            <v>11.9</v>
          </cell>
          <cell r="F91">
            <v>11.9</v>
          </cell>
        </row>
        <row r="92">
          <cell r="A92">
            <v>52009</v>
          </cell>
          <cell r="B92" t="str">
            <v>Shipper 18g (1 x 36)</v>
          </cell>
          <cell r="C92">
            <v>1</v>
          </cell>
          <cell r="D92">
            <v>3.0000000000000001E-3</v>
          </cell>
          <cell r="E92">
            <v>5.66</v>
          </cell>
          <cell r="F92">
            <v>5.66</v>
          </cell>
        </row>
        <row r="93">
          <cell r="A93">
            <v>52010</v>
          </cell>
          <cell r="B93" t="str">
            <v>Shipper  22g (1 x 36)</v>
          </cell>
          <cell r="C93">
            <v>1</v>
          </cell>
          <cell r="D93">
            <v>3.0000000000000001E-3</v>
          </cell>
          <cell r="E93">
            <v>7.46</v>
          </cell>
          <cell r="F93">
            <v>7.46</v>
          </cell>
        </row>
        <row r="94">
          <cell r="A94">
            <v>53000</v>
          </cell>
          <cell r="B94" t="str">
            <v>Shipper - Twisties</v>
          </cell>
          <cell r="C94">
            <v>1</v>
          </cell>
          <cell r="D94">
            <v>3.0000000000000001E-3</v>
          </cell>
          <cell r="E94">
            <v>14.35</v>
          </cell>
          <cell r="F94">
            <v>14.35</v>
          </cell>
        </row>
        <row r="95">
          <cell r="A95">
            <v>53001</v>
          </cell>
          <cell r="B95" t="str">
            <v>Shipper 20g (1 x 96)</v>
          </cell>
          <cell r="C95">
            <v>1</v>
          </cell>
          <cell r="D95">
            <v>3.0000000000000001E-3</v>
          </cell>
          <cell r="E95">
            <v>9.0399999999999991</v>
          </cell>
          <cell r="F95">
            <v>9.0399999999999991</v>
          </cell>
        </row>
        <row r="96">
          <cell r="A96">
            <v>53002</v>
          </cell>
          <cell r="B96" t="str">
            <v>Shipper 40g (1 x 48)</v>
          </cell>
          <cell r="C96">
            <v>1</v>
          </cell>
          <cell r="D96">
            <v>3.0000000000000001E-3</v>
          </cell>
          <cell r="E96">
            <v>9.6999999999999993</v>
          </cell>
          <cell r="F96">
            <v>9.6999999999999993</v>
          </cell>
        </row>
        <row r="97">
          <cell r="A97">
            <v>53003</v>
          </cell>
          <cell r="B97" t="str">
            <v>Shipper 90g (1 x 24)</v>
          </cell>
          <cell r="C97">
            <v>1</v>
          </cell>
          <cell r="D97">
            <v>3.0000000000000001E-3</v>
          </cell>
          <cell r="E97">
            <v>10.44</v>
          </cell>
          <cell r="F97">
            <v>10.44</v>
          </cell>
        </row>
        <row r="98">
          <cell r="A98">
            <v>54000</v>
          </cell>
          <cell r="B98" t="str">
            <v>Shipper - 3D's</v>
          </cell>
          <cell r="C98">
            <v>1</v>
          </cell>
          <cell r="D98">
            <v>3.0000000000000001E-3</v>
          </cell>
          <cell r="E98">
            <v>9.6999999999999993</v>
          </cell>
          <cell r="F98">
            <v>9.6999999999999993</v>
          </cell>
        </row>
        <row r="99">
          <cell r="A99">
            <v>54001</v>
          </cell>
          <cell r="B99" t="str">
            <v>Shipper 18g (1 x 72)</v>
          </cell>
          <cell r="C99">
            <v>1</v>
          </cell>
          <cell r="D99">
            <v>3.0000000000000001E-3</v>
          </cell>
          <cell r="E99">
            <v>11.16</v>
          </cell>
          <cell r="F99">
            <v>11.16</v>
          </cell>
        </row>
        <row r="100">
          <cell r="A100">
            <v>54002</v>
          </cell>
          <cell r="B100" t="str">
            <v>Shipper 36g (1 x 48)</v>
          </cell>
          <cell r="C100">
            <v>1</v>
          </cell>
          <cell r="D100">
            <v>3.0000000000000001E-3</v>
          </cell>
          <cell r="E100">
            <v>10.89</v>
          </cell>
          <cell r="F100">
            <v>10.89</v>
          </cell>
        </row>
        <row r="101">
          <cell r="A101">
            <v>54003</v>
          </cell>
          <cell r="B101" t="str">
            <v>Shipper 75g (1 x 24)</v>
          </cell>
          <cell r="C101">
            <v>1</v>
          </cell>
          <cell r="D101">
            <v>3.0000000000000001E-3</v>
          </cell>
          <cell r="E101">
            <v>10.68</v>
          </cell>
          <cell r="F101">
            <v>10.68</v>
          </cell>
        </row>
      </sheetData>
      <sheetData sheetId="4" refreshError="1">
        <row r="2">
          <cell r="A2" t="str">
            <v>Code</v>
          </cell>
          <cell r="B2" t="str">
            <v>Description</v>
          </cell>
          <cell r="C2" t="str">
            <v>Man Hour</v>
          </cell>
          <cell r="D2" t="str">
            <v>Waste %</v>
          </cell>
          <cell r="E2" t="str">
            <v>Bht./Hr.</v>
          </cell>
        </row>
        <row r="4">
          <cell r="A4">
            <v>10000</v>
          </cell>
          <cell r="B4" t="str">
            <v>Lay's Salt</v>
          </cell>
          <cell r="C4">
            <v>5.3571428571428572E-3</v>
          </cell>
          <cell r="D4">
            <v>2.8</v>
          </cell>
          <cell r="E4">
            <v>17.5</v>
          </cell>
        </row>
        <row r="5">
          <cell r="A5">
            <v>11000</v>
          </cell>
          <cell r="B5" t="str">
            <v>Lay's Others</v>
          </cell>
          <cell r="C5">
            <v>5.3571428571428572E-3</v>
          </cell>
          <cell r="D5">
            <v>2.8</v>
          </cell>
          <cell r="E5">
            <v>17.5</v>
          </cell>
        </row>
        <row r="6">
          <cell r="A6">
            <v>21000</v>
          </cell>
          <cell r="B6" t="str">
            <v>Cheetos - FCP</v>
          </cell>
          <cell r="C6">
            <v>3.5300925925925929E-3</v>
          </cell>
          <cell r="D6">
            <v>2.8</v>
          </cell>
          <cell r="E6">
            <v>17.5</v>
          </cell>
        </row>
        <row r="7">
          <cell r="A7">
            <v>22000</v>
          </cell>
          <cell r="B7" t="str">
            <v>Cheetos - BCP</v>
          </cell>
          <cell r="C7">
            <v>5.2556818181818182E-3</v>
          </cell>
          <cell r="D7">
            <v>2.8</v>
          </cell>
          <cell r="E7">
            <v>17.5</v>
          </cell>
        </row>
        <row r="8">
          <cell r="A8">
            <v>30000</v>
          </cell>
          <cell r="B8" t="str">
            <v>Twisties</v>
          </cell>
          <cell r="C8">
            <v>5.6249999999999998E-3</v>
          </cell>
          <cell r="D8">
            <v>2.8</v>
          </cell>
          <cell r="E8">
            <v>17.5</v>
          </cell>
        </row>
        <row r="9">
          <cell r="A9">
            <v>41000</v>
          </cell>
          <cell r="B9" t="str">
            <v>3D's - Corn</v>
          </cell>
          <cell r="C9">
            <v>3.317901234567901E-3</v>
          </cell>
          <cell r="D9">
            <v>2.8</v>
          </cell>
          <cell r="E9">
            <v>17.5</v>
          </cell>
        </row>
        <row r="10">
          <cell r="A10">
            <v>42000</v>
          </cell>
          <cell r="B10" t="str">
            <v>3D's - Perf.</v>
          </cell>
          <cell r="C10">
            <v>3.4926470588235296E-3</v>
          </cell>
          <cell r="D10">
            <v>2.8</v>
          </cell>
          <cell r="E10">
            <v>17.5</v>
          </cell>
        </row>
        <row r="11">
          <cell r="A11">
            <v>43000</v>
          </cell>
          <cell r="B11" t="str">
            <v>Tawan</v>
          </cell>
          <cell r="C11">
            <v>1.2777777777777776E-3</v>
          </cell>
          <cell r="D11">
            <v>2.8</v>
          </cell>
          <cell r="E11">
            <v>17.5</v>
          </cell>
        </row>
        <row r="12">
          <cell r="A12">
            <v>50000</v>
          </cell>
          <cell r="B12" t="str">
            <v>Fuji</v>
          </cell>
          <cell r="C12">
            <v>5.64E-3</v>
          </cell>
          <cell r="D12">
            <v>2.8</v>
          </cell>
          <cell r="E12">
            <v>17.5</v>
          </cell>
        </row>
      </sheetData>
      <sheetData sheetId="5" refreshError="1">
        <row r="1">
          <cell r="A1">
            <v>1</v>
          </cell>
          <cell r="B1">
            <v>2</v>
          </cell>
          <cell r="C1">
            <v>3</v>
          </cell>
          <cell r="D1">
            <v>4</v>
          </cell>
          <cell r="E1">
            <v>5</v>
          </cell>
        </row>
        <row r="2">
          <cell r="A2" t="str">
            <v>Code</v>
          </cell>
          <cell r="B2" t="str">
            <v>Description</v>
          </cell>
          <cell r="C2" t="str">
            <v>Man Hour/Per kg</v>
          </cell>
          <cell r="D2" t="str">
            <v>Waste %</v>
          </cell>
          <cell r="E2" t="str">
            <v>Bht./Hr.</v>
          </cell>
        </row>
        <row r="3">
          <cell r="A3">
            <v>10000</v>
          </cell>
          <cell r="B3" t="str">
            <v>Lay's</v>
          </cell>
        </row>
        <row r="4">
          <cell r="A4">
            <v>10001</v>
          </cell>
          <cell r="B4" t="str">
            <v>Lay's 18g (1 x 120)</v>
          </cell>
          <cell r="C4">
            <v>4.3935185185185181E-2</v>
          </cell>
          <cell r="D4">
            <v>2.8</v>
          </cell>
          <cell r="E4">
            <v>17.5</v>
          </cell>
        </row>
        <row r="5">
          <cell r="A5">
            <v>10002</v>
          </cell>
          <cell r="B5" t="str">
            <v>Lay's 66g (1 x 48)</v>
          </cell>
          <cell r="C5">
            <v>1.5372474747474748E-2</v>
          </cell>
          <cell r="D5">
            <v>2.8</v>
          </cell>
          <cell r="E5">
            <v>17.5</v>
          </cell>
        </row>
        <row r="6">
          <cell r="A6">
            <v>10003</v>
          </cell>
          <cell r="B6" t="str">
            <v>Lay's 100g (1 x 24)</v>
          </cell>
          <cell r="C6">
            <v>8.0833333333333347E-3</v>
          </cell>
          <cell r="D6">
            <v>2.8</v>
          </cell>
          <cell r="E6">
            <v>17.5</v>
          </cell>
        </row>
        <row r="7">
          <cell r="A7">
            <v>10004</v>
          </cell>
          <cell r="B7" t="str">
            <v>Lay's 150g (1 x 18)</v>
          </cell>
          <cell r="C7">
            <v>7.1851851851851851E-3</v>
          </cell>
          <cell r="D7">
            <v>2.8</v>
          </cell>
          <cell r="E7">
            <v>17.5</v>
          </cell>
        </row>
        <row r="8">
          <cell r="A8">
            <v>10005</v>
          </cell>
          <cell r="B8" t="str">
            <v>Lay's 21g (1 x 120)</v>
          </cell>
          <cell r="C8">
            <v>3.7658730158730155E-2</v>
          </cell>
          <cell r="D8">
            <v>2.8</v>
          </cell>
          <cell r="E8">
            <v>17.5</v>
          </cell>
        </row>
        <row r="9">
          <cell r="A9">
            <v>10006</v>
          </cell>
          <cell r="B9" t="str">
            <v>Lay's 72g (1 x 48)</v>
          </cell>
          <cell r="C9">
            <v>1.4091435185185186E-2</v>
          </cell>
          <cell r="D9">
            <v>2.8</v>
          </cell>
          <cell r="E9">
            <v>17.5</v>
          </cell>
        </row>
        <row r="10">
          <cell r="A10">
            <v>10008</v>
          </cell>
          <cell r="B10" t="str">
            <v>Lay's 30g (1 x 48)-Smile</v>
          </cell>
          <cell r="C10">
            <v>2.2281639928698752E-2</v>
          </cell>
          <cell r="D10">
            <v>2.8</v>
          </cell>
          <cell r="E10">
            <v>17.5</v>
          </cell>
        </row>
        <row r="11">
          <cell r="A11">
            <v>10009</v>
          </cell>
          <cell r="B11" t="str">
            <v>Lay's 80g (1 x 24)-Smile</v>
          </cell>
          <cell r="C11">
            <v>1.0008006405124099E-2</v>
          </cell>
          <cell r="D11">
            <v>2.8</v>
          </cell>
          <cell r="E11">
            <v>17.5</v>
          </cell>
        </row>
        <row r="12">
          <cell r="A12">
            <v>10010</v>
          </cell>
          <cell r="B12" t="str">
            <v>Lay's 24g (1 x 120)</v>
          </cell>
          <cell r="C12">
            <v>3.2951388888888891E-2</v>
          </cell>
          <cell r="D12">
            <v>2.8</v>
          </cell>
          <cell r="E12">
            <v>17.5</v>
          </cell>
        </row>
        <row r="13">
          <cell r="A13">
            <v>10011</v>
          </cell>
          <cell r="B13" t="str">
            <v>Lay's 80g (1 x 48)</v>
          </cell>
          <cell r="C13">
            <v>1.2682291666666666E-2</v>
          </cell>
          <cell r="D13">
            <v>2.8</v>
          </cell>
          <cell r="E13">
            <v>17.5</v>
          </cell>
        </row>
        <row r="14">
          <cell r="A14">
            <v>10012</v>
          </cell>
          <cell r="B14" t="str">
            <v>Lay's 120g (1 x 24)</v>
          </cell>
          <cell r="C14">
            <v>6.736111111111112E-3</v>
          </cell>
          <cell r="D14">
            <v>2.8</v>
          </cell>
          <cell r="E14">
            <v>17.5</v>
          </cell>
        </row>
        <row r="15">
          <cell r="A15">
            <v>20000</v>
          </cell>
          <cell r="B15" t="str">
            <v>Cheetos</v>
          </cell>
        </row>
        <row r="16">
          <cell r="A16">
            <v>21001</v>
          </cell>
          <cell r="B16" t="str">
            <v>FCP 18g (1 x 72)</v>
          </cell>
          <cell r="C16">
            <v>1.8209876543209876E-2</v>
          </cell>
          <cell r="D16">
            <v>2.8</v>
          </cell>
          <cell r="E16">
            <v>17.5</v>
          </cell>
        </row>
        <row r="17">
          <cell r="A17">
            <v>21002</v>
          </cell>
          <cell r="B17" t="str">
            <v>FCP 20g (1 x 72)</v>
          </cell>
          <cell r="C17">
            <v>1.638888888888889E-2</v>
          </cell>
          <cell r="D17">
            <v>2.8</v>
          </cell>
          <cell r="E17">
            <v>17.5</v>
          </cell>
        </row>
        <row r="18">
          <cell r="A18">
            <v>21003</v>
          </cell>
          <cell r="B18" t="str">
            <v>FCP 45g (1 x 48)</v>
          </cell>
          <cell r="C18">
            <v>1.5879629629629629E-2</v>
          </cell>
          <cell r="D18">
            <v>2.8</v>
          </cell>
          <cell r="E18">
            <v>17.5</v>
          </cell>
        </row>
        <row r="19">
          <cell r="A19">
            <v>21004</v>
          </cell>
          <cell r="B19" t="str">
            <v>FCP 40g (1 x 48)</v>
          </cell>
          <cell r="C19">
            <v>1.7864583333333333E-2</v>
          </cell>
          <cell r="D19">
            <v>2.8</v>
          </cell>
          <cell r="E19">
            <v>17.5</v>
          </cell>
        </row>
        <row r="20">
          <cell r="A20">
            <v>21005</v>
          </cell>
          <cell r="B20" t="str">
            <v>FCP 18g (1 x 36) 7-11</v>
          </cell>
          <cell r="C20">
            <v>3.6419753086419752E-2</v>
          </cell>
          <cell r="D20">
            <v>2.8</v>
          </cell>
          <cell r="E20">
            <v>17.5</v>
          </cell>
        </row>
        <row r="21">
          <cell r="A21">
            <v>22001</v>
          </cell>
          <cell r="B21" t="str">
            <v>BCP 15g (1 x 72)</v>
          </cell>
          <cell r="C21">
            <v>5.8240740740740732E-2</v>
          </cell>
          <cell r="D21">
            <v>2.8</v>
          </cell>
          <cell r="E21">
            <v>17.5</v>
          </cell>
        </row>
        <row r="22">
          <cell r="A22">
            <v>22002</v>
          </cell>
          <cell r="B22" t="str">
            <v>BCP 22g (1 x 72)</v>
          </cell>
          <cell r="C22">
            <v>3.9709595959595959E-2</v>
          </cell>
          <cell r="D22">
            <v>2.8</v>
          </cell>
          <cell r="E22">
            <v>17.5</v>
          </cell>
        </row>
        <row r="23">
          <cell r="A23">
            <v>22003</v>
          </cell>
          <cell r="B23" t="str">
            <v>BCP 35g (1 x 48)</v>
          </cell>
          <cell r="C23">
            <v>2.0416666666666666E-2</v>
          </cell>
          <cell r="D23">
            <v>2.8</v>
          </cell>
          <cell r="E23">
            <v>17.5</v>
          </cell>
        </row>
        <row r="24">
          <cell r="A24">
            <v>22004</v>
          </cell>
          <cell r="B24" t="str">
            <v>BCP 45g (1 x 24)</v>
          </cell>
          <cell r="C24">
            <v>3.1759259259259258E-2</v>
          </cell>
          <cell r="D24">
            <v>2.8</v>
          </cell>
          <cell r="E24">
            <v>17.5</v>
          </cell>
        </row>
        <row r="25">
          <cell r="A25">
            <v>22005</v>
          </cell>
          <cell r="B25" t="str">
            <v>BCP 15g (1 x 36) 7-11</v>
          </cell>
          <cell r="C25">
            <v>0.11648148148148146</v>
          </cell>
          <cell r="D25">
            <v>2.8</v>
          </cell>
          <cell r="E25">
            <v>17.5</v>
          </cell>
        </row>
        <row r="26">
          <cell r="A26">
            <v>30000</v>
          </cell>
          <cell r="B26" t="str">
            <v>Twisties</v>
          </cell>
        </row>
        <row r="27">
          <cell r="A27">
            <v>30001</v>
          </cell>
          <cell r="B27" t="str">
            <v>Twisties 20g (1 x 96)</v>
          </cell>
          <cell r="C27">
            <v>3.2760416666666667E-2</v>
          </cell>
          <cell r="D27">
            <v>2.8</v>
          </cell>
          <cell r="E27">
            <v>17.5</v>
          </cell>
        </row>
        <row r="28">
          <cell r="A28">
            <v>30002</v>
          </cell>
          <cell r="B28" t="str">
            <v>Twisties 40g (1 x 48)</v>
          </cell>
          <cell r="C28">
            <v>1.7864583333333333E-2</v>
          </cell>
          <cell r="D28">
            <v>2.8</v>
          </cell>
          <cell r="E28">
            <v>17.5</v>
          </cell>
        </row>
        <row r="29">
          <cell r="A29">
            <v>30003</v>
          </cell>
          <cell r="B29" t="str">
            <v>Twisties 90g (1 x 24)</v>
          </cell>
          <cell r="C29">
            <v>6.9444444444444441E-3</v>
          </cell>
          <cell r="D29">
            <v>2.8</v>
          </cell>
          <cell r="E29">
            <v>17.5</v>
          </cell>
        </row>
        <row r="30">
          <cell r="A30">
            <v>40000</v>
          </cell>
          <cell r="B30" t="str">
            <v>3D's</v>
          </cell>
        </row>
        <row r="31">
          <cell r="A31">
            <v>41000</v>
          </cell>
          <cell r="B31" t="str">
            <v>3D's Corn</v>
          </cell>
        </row>
        <row r="32">
          <cell r="A32">
            <v>41001</v>
          </cell>
          <cell r="B32" t="str">
            <v>3D's 18g (1 x 72)</v>
          </cell>
          <cell r="C32">
            <v>4.8533950617283945E-2</v>
          </cell>
          <cell r="D32">
            <v>2.8</v>
          </cell>
          <cell r="E32">
            <v>17.5</v>
          </cell>
        </row>
        <row r="33">
          <cell r="A33">
            <v>41002</v>
          </cell>
          <cell r="B33" t="str">
            <v>3D's 36g (1 x 48)</v>
          </cell>
          <cell r="C33">
            <v>2.4074074074074074E-2</v>
          </cell>
          <cell r="D33">
            <v>2.8</v>
          </cell>
          <cell r="E33">
            <v>17.5</v>
          </cell>
        </row>
        <row r="34">
          <cell r="A34">
            <v>41003</v>
          </cell>
          <cell r="B34" t="str">
            <v>3D's 75g (1 x 24)</v>
          </cell>
          <cell r="C34">
            <v>1.4222222222222223E-2</v>
          </cell>
          <cell r="D34">
            <v>2.8</v>
          </cell>
          <cell r="E34">
            <v>17.5</v>
          </cell>
        </row>
        <row r="35">
          <cell r="A35">
            <v>41004</v>
          </cell>
          <cell r="B35" t="str">
            <v>3D's 20g (1 x 72)</v>
          </cell>
          <cell r="C35">
            <v>4.3680555555555556E-2</v>
          </cell>
          <cell r="D35">
            <v>2.8</v>
          </cell>
          <cell r="E35">
            <v>17.5</v>
          </cell>
        </row>
        <row r="36">
          <cell r="A36">
            <v>41005</v>
          </cell>
          <cell r="B36" t="str">
            <v>3D's 40g (1 x 48)</v>
          </cell>
          <cell r="C36">
            <v>2.1666666666666667E-2</v>
          </cell>
          <cell r="D36">
            <v>2.8</v>
          </cell>
          <cell r="E36">
            <v>17.5</v>
          </cell>
        </row>
        <row r="37">
          <cell r="A37">
            <v>42000</v>
          </cell>
          <cell r="B37" t="str">
            <v>3D's Perf.</v>
          </cell>
        </row>
        <row r="38">
          <cell r="A38">
            <v>42006</v>
          </cell>
          <cell r="B38" t="str">
            <v>3D's 17g (1 x 72)</v>
          </cell>
          <cell r="C38">
            <v>5.1388888888888887E-2</v>
          </cell>
          <cell r="D38">
            <v>2.8</v>
          </cell>
          <cell r="E38">
            <v>17.5</v>
          </cell>
        </row>
        <row r="39">
          <cell r="A39">
            <v>42007</v>
          </cell>
          <cell r="B39" t="str">
            <v>3D's 34g (1 x 48)</v>
          </cell>
          <cell r="C39">
            <v>2.5490196078431372E-2</v>
          </cell>
          <cell r="D39">
            <v>2.8</v>
          </cell>
          <cell r="E39">
            <v>17.5</v>
          </cell>
        </row>
        <row r="40">
          <cell r="A40">
            <v>42008</v>
          </cell>
          <cell r="B40" t="str">
            <v>3D's 75g (1 x 24)</v>
          </cell>
          <cell r="C40">
            <v>1.4222222222222223E-2</v>
          </cell>
          <cell r="D40">
            <v>2.8</v>
          </cell>
          <cell r="E40">
            <v>17.5</v>
          </cell>
        </row>
        <row r="41">
          <cell r="A41">
            <v>43000</v>
          </cell>
          <cell r="B41" t="str">
            <v>Tawan</v>
          </cell>
          <cell r="C41">
            <v>2.9777777777777778E-2</v>
          </cell>
          <cell r="D41">
            <v>2.8</v>
          </cell>
          <cell r="E41">
            <v>17.5</v>
          </cell>
        </row>
        <row r="42">
          <cell r="A42">
            <v>43001</v>
          </cell>
          <cell r="B42" t="str">
            <v xml:space="preserve"> Tawan 25g (1 x 72)</v>
          </cell>
          <cell r="C42">
            <v>1.6645699444444446E-2</v>
          </cell>
          <cell r="D42">
            <v>2.8</v>
          </cell>
          <cell r="E42">
            <v>17.5</v>
          </cell>
        </row>
        <row r="43">
          <cell r="A43">
            <v>43002</v>
          </cell>
          <cell r="B43" t="str">
            <v xml:space="preserve"> Tawan 55g (1 x 48)</v>
          </cell>
          <cell r="C43">
            <v>1.5757575757575755E-2</v>
          </cell>
          <cell r="D43">
            <v>2.8</v>
          </cell>
          <cell r="E43">
            <v>17.5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luskin"/>
      <sheetName val="Eckert"/>
      <sheetName val="Delolme"/>
      <sheetName val="Boisdron"/>
      <sheetName val="Grubisich"/>
      <sheetName val="Prot"/>
      <sheetName val="Brissy"/>
      <sheetName val="Ybert"/>
      <sheetName val="Becuwe"/>
      <sheetName val="Chambon"/>
      <sheetName val="Bravard"/>
      <sheetName val="Auffret"/>
      <sheetName val="Tirouflet f"/>
      <sheetName val="Stock 2000 France"/>
      <sheetName val="interpol"/>
      <sheetName val="Table"/>
      <sheetName val="comex 2000"/>
      <sheetName val="Marché Tirouflet"/>
      <sheetName val="Tirouflet calcul"/>
      <sheetName val="USA"/>
      <sheetName val="USA (2)"/>
      <sheetName val="France"/>
      <sheetName val="Filières France"/>
      <sheetName val="Général France"/>
      <sheetName val="Chimie France"/>
      <sheetName val="USA 2000"/>
      <sheetName val="Marché US"/>
      <sheetName val="Marché US (2)"/>
      <sheetName val="Affecte noms ds nuages pts"/>
      <sheetName val="modèle fiches"/>
      <sheetName val="Criteria S1-S2U"/>
      <sheetName val="B11"/>
      <sheetName val="Filières_France"/>
      <sheetName val="Tirouflet_f"/>
      <sheetName val="Stock_2000_France"/>
      <sheetName val="comex_2000"/>
      <sheetName val="Marché_Tirouflet"/>
      <sheetName val="Tirouflet_calcul"/>
      <sheetName val="USA_(2)"/>
      <sheetName val="Général_France"/>
      <sheetName val="Chimie_France"/>
      <sheetName val="USA_2000"/>
      <sheetName val="Marché_US"/>
      <sheetName val="Marché_US_(2)"/>
      <sheetName val="Affecte_noms_ds_nuages_pts"/>
      <sheetName val="Bang Luong "/>
      <sheetName val="modèle_fiches"/>
      <sheetName val="Criteria_S1-S2U"/>
      <sheetName val="Sept.01 (2)"/>
      <sheetName val="Aug."/>
      <sheetName val="Marché voiture"/>
      <sheetName val="Position_relative"/>
      <sheetName val="CO16"/>
      <sheetName val="interpolh"/>
      <sheetName val="Item master"/>
      <sheetName val="Petty Cash Tracker"/>
      <sheetName val="Sheet1"/>
      <sheetName val="Tirouflet_f1"/>
      <sheetName val="Stock_2000_France1"/>
      <sheetName val="comex_20001"/>
      <sheetName val="Marché_Tirouflet1"/>
      <sheetName val="Tirouflet_calcul1"/>
      <sheetName val="USA_(2)1"/>
      <sheetName val="Filières_France1"/>
      <sheetName val="Général_France1"/>
      <sheetName val="Chimie_France1"/>
      <sheetName val="USA_20001"/>
      <sheetName val="Marché_US1"/>
      <sheetName val="Marché_US_(2)1"/>
      <sheetName val="Affecte_noms_ds_nuages_pts1"/>
      <sheetName val="modèle_fiches1"/>
      <sheetName val="Criteria_S1-S2U1"/>
      <sheetName val="Sept_01_(2)"/>
      <sheetName val="Aug_"/>
      <sheetName val="Bang_Luong_"/>
      <sheetName val="Tirouflet_f2"/>
      <sheetName val="Stock_2000_France2"/>
      <sheetName val="comex_20002"/>
      <sheetName val="Marché_Tirouflet2"/>
      <sheetName val="Tirouflet_calcul2"/>
      <sheetName val="USA_(2)2"/>
      <sheetName val="Filières_France2"/>
      <sheetName val="Général_France2"/>
      <sheetName val="Chimie_France2"/>
      <sheetName val="USA_20002"/>
      <sheetName val="Marché_US2"/>
      <sheetName val="Marché_US_(2)2"/>
      <sheetName val="Affecte_noms_ds_nuages_pts2"/>
      <sheetName val="modèle_fiches2"/>
      <sheetName val="Criteria_S1-S2U2"/>
      <sheetName val="Sept_01_(2)1"/>
      <sheetName val="Aug_1"/>
      <sheetName val="Bang_Luong_1"/>
      <sheetName val="Tke"/>
      <sheetName val="Tirouflet_f4"/>
      <sheetName val="Stock_2000_France4"/>
      <sheetName val="comex_20004"/>
      <sheetName val="Marché_Tirouflet4"/>
      <sheetName val="Tirouflet_calcul4"/>
      <sheetName val="USA_(2)4"/>
      <sheetName val="Filières_France4"/>
      <sheetName val="Général_France4"/>
      <sheetName val="Chimie_France4"/>
      <sheetName val="USA_20004"/>
      <sheetName val="Marché_US4"/>
      <sheetName val="Marché_US_(2)4"/>
      <sheetName val="Affecte_noms_ds_nuages_pts4"/>
      <sheetName val="modèle_fiches4"/>
      <sheetName val="Criteria_S1-S2U4"/>
      <sheetName val="Bang_Luong_3"/>
      <sheetName val="Sept_01_(2)3"/>
      <sheetName val="Aug_3"/>
      <sheetName val="Marché_voiture2"/>
      <sheetName val="Item_master2"/>
      <sheetName val="Petty_Cash_Tracker1"/>
      <sheetName val="Marché_voiture"/>
      <sheetName val="Item_master"/>
      <sheetName val="Tirouflet_f3"/>
      <sheetName val="Stock_2000_France3"/>
      <sheetName val="comex_20003"/>
      <sheetName val="Marché_Tirouflet3"/>
      <sheetName val="Tirouflet_calcul3"/>
      <sheetName val="USA_(2)3"/>
      <sheetName val="Filières_France3"/>
      <sheetName val="Général_France3"/>
      <sheetName val="Chimie_France3"/>
      <sheetName val="USA_20003"/>
      <sheetName val="Marché_US3"/>
      <sheetName val="Marché_US_(2)3"/>
      <sheetName val="Affecte_noms_ds_nuages_pts3"/>
      <sheetName val="modèle_fiches3"/>
      <sheetName val="Criteria_S1-S2U3"/>
      <sheetName val="Sept_01_(2)2"/>
      <sheetName val="Aug_2"/>
      <sheetName val="Bang_Luong_2"/>
      <sheetName val="Marché_voiture1"/>
      <sheetName val="Item_master1"/>
      <sheetName val="Petty_Cash_Trac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
          <cell r="G5">
            <v>600</v>
          </cell>
          <cell r="K5">
            <v>662.01</v>
          </cell>
          <cell r="L5">
            <v>590.51</v>
          </cell>
          <cell r="M5">
            <v>491.61</v>
          </cell>
          <cell r="N5">
            <v>608.28</v>
          </cell>
        </row>
        <row r="6">
          <cell r="G6">
            <v>800</v>
          </cell>
          <cell r="K6">
            <v>734.68</v>
          </cell>
          <cell r="L6">
            <v>662.59</v>
          </cell>
          <cell r="M6">
            <v>572.4</v>
          </cell>
          <cell r="N6">
            <v>680.53</v>
          </cell>
        </row>
        <row r="7">
          <cell r="G7">
            <v>1000</v>
          </cell>
          <cell r="K7">
            <v>878.65</v>
          </cell>
          <cell r="L7">
            <v>768.24</v>
          </cell>
          <cell r="M7">
            <v>685.6</v>
          </cell>
          <cell r="N7">
            <v>789.39</v>
          </cell>
        </row>
        <row r="8">
          <cell r="K8">
            <v>1051.83</v>
          </cell>
          <cell r="L8">
            <v>894.03</v>
          </cell>
          <cell r="M8">
            <v>789.06</v>
          </cell>
          <cell r="N8">
            <v>912.85</v>
          </cell>
        </row>
        <row r="9">
          <cell r="K9">
            <v>1158.75</v>
          </cell>
          <cell r="L9">
            <v>987.58</v>
          </cell>
          <cell r="M9">
            <v>872.67</v>
          </cell>
          <cell r="N9">
            <v>1017.82</v>
          </cell>
        </row>
        <row r="10">
          <cell r="K10">
            <v>1284.1300000000001</v>
          </cell>
          <cell r="L10">
            <v>1099.0899999999999</v>
          </cell>
          <cell r="M10">
            <v>949.16</v>
          </cell>
          <cell r="N10">
            <v>1123.3399999999999</v>
          </cell>
        </row>
        <row r="11">
          <cell r="K11">
            <v>1442.15</v>
          </cell>
          <cell r="L11">
            <v>1223.7</v>
          </cell>
          <cell r="M11">
            <v>1065.0999999999999</v>
          </cell>
          <cell r="N11">
            <v>1252.92</v>
          </cell>
        </row>
        <row r="12">
          <cell r="K12">
            <v>1636.4</v>
          </cell>
          <cell r="L12">
            <v>1390.4</v>
          </cell>
          <cell r="M12">
            <v>1202.4000000000001</v>
          </cell>
          <cell r="N12">
            <v>1412.44</v>
          </cell>
        </row>
        <row r="13">
          <cell r="K13">
            <v>1782.2</v>
          </cell>
          <cell r="L13">
            <v>1517.2</v>
          </cell>
          <cell r="M13">
            <v>1301.2</v>
          </cell>
          <cell r="N13">
            <v>1533.8</v>
          </cell>
        </row>
        <row r="14">
          <cell r="K14">
            <v>1925.4</v>
          </cell>
          <cell r="L14">
            <v>1665.5</v>
          </cell>
          <cell r="M14">
            <v>1385.7</v>
          </cell>
          <cell r="N14">
            <v>1699.86</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G5">
            <v>600</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ow r="5">
          <cell r="G5">
            <v>600</v>
          </cell>
        </row>
      </sheetData>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5">
          <cell r="G5">
            <v>600</v>
          </cell>
        </row>
      </sheetData>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fecte noms ds nuages pts"/>
      <sheetName val="doi chieu"/>
      <sheetName val="Custummer complaint"/>
      <sheetName val="Output Pay"/>
      <sheetName val="Headcount Pay"/>
      <sheetName val="Total Loss"/>
      <sheetName val="Total OEE"/>
      <sheetName val="Output Wafer"/>
      <sheetName val="Headcount"/>
      <sheetName val="BẢNG CÔNG"/>
      <sheetName val="sap"/>
      <sheetName val="Sheet3"/>
      <sheetName val="B11"/>
      <sheetName val="Makh"/>
      <sheetName val="Affecte_noms_ds_nuages_pts"/>
      <sheetName val="doi_chieu"/>
      <sheetName val="Custummer_complaint"/>
      <sheetName val="Output_Pay"/>
      <sheetName val="Headcount_Pay"/>
      <sheetName val="Total_Loss"/>
      <sheetName val="Total_OEE"/>
      <sheetName val="Output_Wafer"/>
      <sheetName val="BẢNG_CÔNG"/>
      <sheetName val="DataPilot_Sheet1_1"/>
      <sheetName val="Taux de charges"/>
      <sheetName val="Ref"/>
      <sheetName val="Affecte_noms_ds_nuages_pts1"/>
      <sheetName val="doi_chieu1"/>
      <sheetName val="Custummer_complaint1"/>
      <sheetName val="Output_Pay1"/>
      <sheetName val="Headcount_Pay1"/>
      <sheetName val="Total_Loss1"/>
      <sheetName val="Total_OEE1"/>
      <sheetName val="Output_Wafer1"/>
      <sheetName val="BẢNG_CÔNG1"/>
      <sheetName val="Taux_de_charges"/>
      <sheetName val="Affecte_noms_ds_nuages_pts2"/>
      <sheetName val="doi_chieu2"/>
      <sheetName val="Custummer_complaint2"/>
      <sheetName val="Output_Pay2"/>
      <sheetName val="Headcount_Pay2"/>
      <sheetName val="Total_Loss2"/>
      <sheetName val="Total_OEE2"/>
      <sheetName val="Output_Wafer2"/>
      <sheetName val="BẢNG_CÔNG2"/>
      <sheetName val="Taux_de_charges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ux de charges"/>
      <sheetName val="Charges"/>
      <sheetName val="Impôt"/>
      <sheetName val="Calculs"/>
      <sheetName val="Simul3"/>
      <sheetName val="Simul2"/>
      <sheetName val="Simul1"/>
      <sheetName val="Substitution salaire"/>
      <sheetName val="CROISE"/>
      <sheetName val="expl declaration avantage"/>
      <sheetName val="cout total simple"/>
      <sheetName val="cout total"/>
      <sheetName val="cout simple"/>
      <sheetName val="cout détaillé"/>
      <sheetName val="exemple valo"/>
      <sheetName val="valo av simple"/>
      <sheetName val="valo av complet"/>
      <sheetName val="Table impôts"/>
      <sheetName val="PRK Fiscal"/>
      <sheetName val="Utilisation"/>
      <sheetName val="MS_BRUT_NET_NETNET"/>
      <sheetName val="Macros"/>
      <sheetName val="interpol"/>
      <sheetName val="interpolh"/>
      <sheetName val="Base de paramètres individuels"/>
      <sheetName val="Paramètres"/>
      <sheetName val="voiture"/>
      <sheetName val="Affecte noms ds nuages pts"/>
      <sheetName val="PMWhisper"/>
      <sheetName val="PM"/>
      <sheetName val="PC_LB"/>
      <sheetName val="PG_LB"/>
      <sheetName val="RM"/>
      <sheetName val="SKU"/>
      <sheetName val="DSCNV"/>
      <sheetName val="Taux_de_charges"/>
      <sheetName val="doi chieu"/>
      <sheetName val="Custummer complaint"/>
      <sheetName val="Output Pay"/>
      <sheetName val="Headcount Pay"/>
      <sheetName val="Total Loss"/>
      <sheetName val="Total OEE"/>
      <sheetName val="Output Wafer"/>
      <sheetName val="Headcount"/>
      <sheetName val="BẢNG CÔNG"/>
      <sheetName val="sap"/>
      <sheetName val="Sheet3"/>
      <sheetName val="Market data (by grade)"/>
      <sheetName val="QD_DL"/>
      <sheetName val="Tools"/>
    </sheetNames>
    <sheetDataSet>
      <sheetData sheetId="0" refreshError="1">
        <row r="3">
          <cell r="C3">
            <v>6.9000000000000006E-2</v>
          </cell>
        </row>
        <row r="5">
          <cell r="C5">
            <v>0.14880000000000002</v>
          </cell>
        </row>
        <row r="7">
          <cell r="C7">
            <v>0.13293999999999997</v>
          </cell>
        </row>
        <row r="9">
          <cell r="C9">
            <v>9.01E-2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ow r="5">
          <cell r="C5" t="str">
            <v>Normal day
 (Day shift)</v>
          </cell>
        </row>
      </sheetData>
      <sheetData sheetId="39"/>
      <sheetData sheetId="40"/>
      <sheetData sheetId="41"/>
      <sheetData sheetId="42"/>
      <sheetData sheetId="43"/>
      <sheetData sheetId="44"/>
      <sheetData sheetId="45"/>
      <sheetData sheetId="46"/>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ux de charges"/>
      <sheetName val="Charges"/>
      <sheetName val="Impôt"/>
      <sheetName val="Calculs"/>
      <sheetName val="Simul3"/>
      <sheetName val="Simul2"/>
      <sheetName val="Simul1"/>
      <sheetName val="Substitution salaire"/>
      <sheetName val="CROISE"/>
      <sheetName val="expl declaration avantage"/>
      <sheetName val="cout total simple"/>
      <sheetName val="cout total"/>
      <sheetName val="cout simple"/>
      <sheetName val="cout détaillé"/>
      <sheetName val="exemple valo"/>
      <sheetName val="valo av simple"/>
      <sheetName val="valo av complet"/>
      <sheetName val="Table impôts"/>
      <sheetName val="PRK Fiscal"/>
      <sheetName val="Utilisation"/>
      <sheetName val="MS_BRUT_NET_NETNET"/>
      <sheetName val="Macros"/>
      <sheetName val="interpol"/>
      <sheetName val="interpolh"/>
      <sheetName val="Base de paramètres individuels"/>
      <sheetName val="Paramètres"/>
      <sheetName val="voiture"/>
      <sheetName val="Affecte noms ds nuages pts"/>
      <sheetName val="PMWhisper"/>
      <sheetName val="doi chieu"/>
      <sheetName val="Custummer complaint"/>
      <sheetName val="Output Pay"/>
      <sheetName val="Headcount Pay"/>
      <sheetName val="Total Loss"/>
      <sheetName val="Total OEE"/>
      <sheetName val="Output Wafer"/>
      <sheetName val="Headcount"/>
      <sheetName val="BẢNG CÔNG"/>
      <sheetName val="sap"/>
      <sheetName val="Sheet3"/>
      <sheetName val="QD_DL"/>
      <sheetName val="Tools"/>
      <sheetName val="DSCNV"/>
      <sheetName val="Taux_de_charges"/>
      <sheetName val="Market data (by grade)"/>
      <sheetName val="PM"/>
      <sheetName val="PC_LB"/>
      <sheetName val="PG_LB"/>
      <sheetName val="RM"/>
      <sheetName val="SKU"/>
      <sheetName val="Substitution_salaire"/>
      <sheetName val="expl_declaration_avantage"/>
      <sheetName val="cout_total_simple"/>
      <sheetName val="cout_total"/>
      <sheetName val="cout_simple"/>
      <sheetName val="cout_détaillé"/>
      <sheetName val="exemple_valo"/>
      <sheetName val="valo_av_simple"/>
      <sheetName val="valo_av_complet"/>
      <sheetName val="Table_impôts"/>
      <sheetName val="PRK_Fiscal"/>
      <sheetName val="Base_de_paramètres_individuels"/>
      <sheetName val="Affecte_noms_ds_nuages_pts"/>
      <sheetName val="doi_chieu"/>
      <sheetName val="Custummer_complaint"/>
      <sheetName val="Output_Pay"/>
      <sheetName val="Headcount_Pay"/>
      <sheetName val="Total_Loss"/>
      <sheetName val="Total_OEE"/>
      <sheetName val="Output_Wafer"/>
      <sheetName val="BẢNG_CÔNG"/>
      <sheetName val="ESTI."/>
      <sheetName val="DI-ESTI"/>
      <sheetName val="PTVT (MAU)"/>
      <sheetName val="TEN HANG"/>
      <sheetName val="Filières France"/>
      <sheetName val="Taux_de_charges1"/>
      <sheetName val="Substitution_salaire1"/>
      <sheetName val="expl_declaration_avantage1"/>
      <sheetName val="cout_total_simple1"/>
      <sheetName val="cout_total1"/>
      <sheetName val="cout_simple1"/>
      <sheetName val="cout_détaillé1"/>
      <sheetName val="exemple_valo1"/>
      <sheetName val="valo_av_simple1"/>
      <sheetName val="valo_av_complet1"/>
      <sheetName val="Table_impôts1"/>
      <sheetName val="PRK_Fiscal1"/>
      <sheetName val="Base_de_paramètres_individuels1"/>
      <sheetName val="Affecte_noms_ds_nuages_pts1"/>
      <sheetName val="doi_chieu1"/>
      <sheetName val="Custummer_complaint1"/>
      <sheetName val="Output_Pay1"/>
      <sheetName val="Headcount_Pay1"/>
      <sheetName val="Total_Loss1"/>
      <sheetName val="Total_OEE1"/>
      <sheetName val="Output_Wafer1"/>
      <sheetName val="BẢNG_CÔNG1"/>
      <sheetName val="Market_data_(by_grade)"/>
      <sheetName val="Taux_de_charges2"/>
      <sheetName val="Substitution_salaire2"/>
      <sheetName val="expl_declaration_avantage2"/>
      <sheetName val="cout_total_simple2"/>
      <sheetName val="cout_total2"/>
      <sheetName val="cout_simple2"/>
      <sheetName val="cout_détaillé2"/>
      <sheetName val="exemple_valo2"/>
      <sheetName val="valo_av_simple2"/>
      <sheetName val="valo_av_complet2"/>
      <sheetName val="Table_impôts2"/>
      <sheetName val="PRK_Fiscal2"/>
      <sheetName val="Base_de_paramètres_individuels2"/>
      <sheetName val="Affecte_noms_ds_nuages_pts2"/>
      <sheetName val="doi_chieu2"/>
      <sheetName val="Custummer_complaint2"/>
      <sheetName val="Output_Pay2"/>
      <sheetName val="Headcount_Pay2"/>
      <sheetName val="Total_Loss2"/>
      <sheetName val="Total_OEE2"/>
      <sheetName val="Output_Wafer2"/>
      <sheetName val="BẢNG_CÔNG2"/>
      <sheetName val="Market_data_(by_grade)1"/>
      <sheetName val="Filières_France"/>
      <sheetName val="Taux_de_charges3"/>
      <sheetName val="Substitution_salaire3"/>
      <sheetName val="expl_declaration_avantage3"/>
      <sheetName val="cout_total_simple3"/>
      <sheetName val="cout_total3"/>
      <sheetName val="cout_simple3"/>
      <sheetName val="cout_détaillé3"/>
      <sheetName val="exemple_valo3"/>
      <sheetName val="valo_av_simple3"/>
      <sheetName val="valo_av_complet3"/>
      <sheetName val="Table_impôts3"/>
      <sheetName val="PRK_Fiscal3"/>
      <sheetName val="Base_de_paramètres_individuels3"/>
      <sheetName val="Affecte_noms_ds_nuages_pts3"/>
      <sheetName val="doi_chieu3"/>
      <sheetName val="Custummer_complaint3"/>
      <sheetName val="Output_Pay3"/>
      <sheetName val="Headcount_Pay3"/>
      <sheetName val="Total_Loss3"/>
      <sheetName val="Total_OEE3"/>
      <sheetName val="Output_Wafer3"/>
      <sheetName val="BẢNG_CÔNG3"/>
      <sheetName val="Market_data_(by_grade)2"/>
      <sheetName val="Filières_France1"/>
      <sheetName val=" PP Done"/>
    </sheetNames>
    <sheetDataSet>
      <sheetData sheetId="0" refreshError="1">
        <row r="3">
          <cell r="C3">
            <v>6.9000000000000006E-2</v>
          </cell>
        </row>
        <row r="5">
          <cell r="C5">
            <v>0.14880000000000002</v>
          </cell>
        </row>
        <row r="7">
          <cell r="C7">
            <v>0.13293999999999997</v>
          </cell>
        </row>
        <row r="9">
          <cell r="C9">
            <v>9.01E-2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ow r="5">
          <cell r="C5" t="str">
            <v>Normal day
 (Day shift)</v>
          </cell>
        </row>
      </sheetData>
      <sheetData sheetId="32">
        <row r="5">
          <cell r="C5" t="str">
            <v>Normal day
 (Day shift)</v>
          </cell>
        </row>
      </sheetData>
      <sheetData sheetId="33">
        <row r="5">
          <cell r="C5" t="str">
            <v>Normal day
 (Day shift)</v>
          </cell>
        </row>
      </sheetData>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5">
          <cell r="C5" t="str">
            <v>Normal day
 (Day shift)</v>
          </cell>
        </row>
      </sheetData>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ow r="3">
          <cell r="C3">
            <v>6.9000000000000006E-2</v>
          </cell>
        </row>
      </sheetData>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ow r="5">
          <cell r="C5" t="str">
            <v>Normal day
 (Day shift)</v>
          </cell>
        </row>
      </sheetData>
      <sheetData sheetId="93"/>
      <sheetData sheetId="94"/>
      <sheetData sheetId="95"/>
      <sheetData sheetId="96"/>
      <sheetData sheetId="97"/>
      <sheetData sheetId="98"/>
      <sheetData sheetId="99">
        <row r="3">
          <cell r="C3">
            <v>6.9000000000000006E-2</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ow r="5">
          <cell r="C5" t="str">
            <v>Normal day
 (Day shift)</v>
          </cell>
        </row>
      </sheetData>
      <sheetData sheetId="116"/>
      <sheetData sheetId="117"/>
      <sheetData sheetId="118"/>
      <sheetData sheetId="119"/>
      <sheetData sheetId="120"/>
      <sheetData sheetId="121"/>
      <sheetData sheetId="122"/>
      <sheetData sheetId="123">
        <row r="3">
          <cell r="C3">
            <v>6.9000000000000006E-2</v>
          </cell>
        </row>
      </sheetData>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ow r="5">
          <cell r="C5" t="str">
            <v>Normal day
 (Day shift)</v>
          </cell>
        </row>
      </sheetData>
      <sheetData sheetId="140"/>
      <sheetData sheetId="141"/>
      <sheetData sheetId="142"/>
      <sheetData sheetId="143"/>
      <sheetData sheetId="144"/>
      <sheetData sheetId="145"/>
      <sheetData sheetId="146"/>
      <sheetData sheetId="14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Tháng 3"/>
      <sheetName val="Tháng 4"/>
      <sheetName val="Tháng 5"/>
      <sheetName val="Sheet1"/>
      <sheetName val="Sheet2"/>
      <sheetName val="Filières France"/>
    </sheetNames>
    <sheetDataSet>
      <sheetData sheetId="0">
        <row r="3">
          <cell r="A3" t="str">
            <v>Downy 1.6L</v>
          </cell>
        </row>
        <row r="4">
          <cell r="A4" t="str">
            <v>Downy 400ml</v>
          </cell>
        </row>
        <row r="5">
          <cell r="A5" t="str">
            <v>Downy 200ml</v>
          </cell>
        </row>
        <row r="6">
          <cell r="A6" t="str">
            <v>Downy 1.0L</v>
          </cell>
        </row>
        <row r="7">
          <cell r="A7" t="str">
            <v>Downy 370ml</v>
          </cell>
        </row>
        <row r="8">
          <cell r="A8" t="str">
            <v>Downy 900ml</v>
          </cell>
        </row>
        <row r="9">
          <cell r="A9" t="str">
            <v>Downy 1.8L</v>
          </cell>
        </row>
        <row r="10">
          <cell r="A10" t="str">
            <v>Cheez Whiz 115g</v>
          </cell>
        </row>
        <row r="11">
          <cell r="A11" t="str">
            <v>Downy 330ml</v>
          </cell>
        </row>
        <row r="12">
          <cell r="A12" t="str">
            <v>Cheez Whiz 62g</v>
          </cell>
        </row>
        <row r="13">
          <cell r="A13" t="str">
            <v>Downy 600ml</v>
          </cell>
        </row>
        <row r="14">
          <cell r="A14" t="str">
            <v>Masan B'fast</v>
          </cell>
        </row>
        <row r="15">
          <cell r="A15" t="str">
            <v>Showa</v>
          </cell>
        </row>
      </sheetData>
      <sheetData sheetId="1"/>
      <sheetData sheetId="2"/>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topLeftCell="A39" zoomScale="80" zoomScaleNormal="80" workbookViewId="0">
      <selection activeCell="C42" sqref="C42:D42"/>
    </sheetView>
  </sheetViews>
  <sheetFormatPr defaultColWidth="9.1796875" defaultRowHeight="13" x14ac:dyDescent="0.3"/>
  <cols>
    <col min="1" max="1" width="9.6328125" style="4" customWidth="1"/>
    <col min="2" max="2" width="30.1796875" style="4" customWidth="1"/>
    <col min="3" max="3" width="27.54296875" style="10" customWidth="1"/>
    <col min="4" max="4" width="28.36328125" style="10" customWidth="1"/>
    <col min="5" max="5" width="24.36328125" style="10" hidden="1" customWidth="1"/>
    <col min="6" max="6" width="101.36328125" style="4" customWidth="1"/>
    <col min="7" max="7" width="8.6328125" style="4" customWidth="1"/>
    <col min="8" max="8" width="16.453125" style="4" customWidth="1"/>
    <col min="9" max="9" width="11.1796875" style="4" customWidth="1"/>
    <col min="10" max="10" width="11.54296875" style="4" bestFit="1" customWidth="1"/>
    <col min="11" max="11" width="27" style="4" customWidth="1"/>
    <col min="12" max="16384" width="9.1796875" style="4"/>
  </cols>
  <sheetData>
    <row r="1" spans="1:11" ht="141.5" customHeight="1" x14ac:dyDescent="0.3">
      <c r="A1" s="1"/>
    </row>
    <row r="2" spans="1:11" ht="48.5" customHeight="1" x14ac:dyDescent="0.3">
      <c r="A2" s="245" t="s">
        <v>234</v>
      </c>
      <c r="B2" s="245"/>
      <c r="C2" s="245"/>
      <c r="D2" s="245"/>
      <c r="E2" s="245"/>
      <c r="F2" s="245"/>
    </row>
    <row r="3" spans="1:11" ht="33.5" customHeight="1" x14ac:dyDescent="0.45">
      <c r="A3" s="246" t="s">
        <v>238</v>
      </c>
      <c r="B3" s="246"/>
      <c r="C3" s="246"/>
      <c r="D3" s="246"/>
      <c r="E3" s="246"/>
      <c r="F3" s="246"/>
    </row>
    <row r="4" spans="1:11" ht="23.25" hidden="1" customHeight="1" x14ac:dyDescent="0.45">
      <c r="A4" s="79"/>
      <c r="B4" s="80">
        <v>2024</v>
      </c>
      <c r="C4" s="81" t="e">
        <f>(C14+C22+C23+C24+C25+C26+C27+#REF!+#REF!+#REF!)</f>
        <v>#VALUE!</v>
      </c>
      <c r="D4" s="81" t="e">
        <f>(D14+D22+D23+D24+D25+D26+D27+#REF!+#REF!+#REF!)</f>
        <v>#VALUE!</v>
      </c>
      <c r="E4" s="81" t="e">
        <f>(E14+E16+E22+E23+E24+E25+E26+E27+#REF!+#REF!+#REF!)</f>
        <v>#REF!</v>
      </c>
      <c r="F4" s="79"/>
    </row>
    <row r="5" spans="1:11" ht="23.25" hidden="1" customHeight="1" x14ac:dyDescent="0.45">
      <c r="A5" s="79"/>
      <c r="B5" s="80">
        <v>2022</v>
      </c>
      <c r="C5" s="81">
        <v>5879400</v>
      </c>
      <c r="D5" s="81">
        <v>5879400</v>
      </c>
      <c r="E5" s="81">
        <v>6520300</v>
      </c>
      <c r="F5" s="79"/>
    </row>
    <row r="6" spans="1:11" ht="23.25" hidden="1" customHeight="1" x14ac:dyDescent="0.45">
      <c r="A6" s="79"/>
      <c r="B6" s="80" t="s">
        <v>110</v>
      </c>
      <c r="C6" s="82" t="e">
        <f>C4-C5</f>
        <v>#VALUE!</v>
      </c>
      <c r="D6" s="82" t="e">
        <f>D4-D5</f>
        <v>#VALUE!</v>
      </c>
      <c r="E6" s="82" t="e">
        <f t="shared" ref="E6" si="0">E4-E5</f>
        <v>#REF!</v>
      </c>
      <c r="F6" s="79"/>
    </row>
    <row r="7" spans="1:11" ht="23.25" hidden="1" customHeight="1" x14ac:dyDescent="0.45">
      <c r="A7" s="79"/>
      <c r="B7" s="80" t="s">
        <v>111</v>
      </c>
      <c r="C7" s="81" t="e">
        <f>C4/26</f>
        <v>#VALUE!</v>
      </c>
      <c r="D7" s="81" t="e">
        <f>D4/26</f>
        <v>#VALUE!</v>
      </c>
      <c r="E7" s="81" t="e">
        <f>E4/26</f>
        <v>#REF!</v>
      </c>
      <c r="F7" s="83"/>
    </row>
    <row r="8" spans="1:11" ht="23.25" hidden="1" customHeight="1" x14ac:dyDescent="0.45">
      <c r="A8" s="79"/>
      <c r="B8" s="81" t="s">
        <v>112</v>
      </c>
      <c r="C8" s="81" t="e">
        <f>C7/8</f>
        <v>#VALUE!</v>
      </c>
      <c r="D8" s="81" t="e">
        <f>D7/8</f>
        <v>#VALUE!</v>
      </c>
      <c r="E8" s="81" t="e">
        <f t="shared" ref="E8" si="1">E7/8</f>
        <v>#REF!</v>
      </c>
      <c r="F8" s="83"/>
      <c r="G8" s="73" t="e">
        <f>E8+E14/208</f>
        <v>#REF!</v>
      </c>
    </row>
    <row r="9" spans="1:11" ht="23.25" hidden="1" customHeight="1" x14ac:dyDescent="0.45">
      <c r="A9" s="79"/>
      <c r="B9" s="33" t="s">
        <v>116</v>
      </c>
      <c r="C9" s="33"/>
      <c r="D9" s="247"/>
      <c r="E9" s="247"/>
      <c r="F9" s="83"/>
      <c r="G9" s="73">
        <f>E14/208*1.5</f>
        <v>44247.836538461539</v>
      </c>
      <c r="H9" s="118" t="e">
        <f>E8-G9</f>
        <v>#REF!</v>
      </c>
    </row>
    <row r="10" spans="1:11" ht="23.25" hidden="1" customHeight="1" x14ac:dyDescent="0.45">
      <c r="A10" s="79"/>
      <c r="B10" s="33" t="s">
        <v>113</v>
      </c>
      <c r="C10" s="33"/>
      <c r="D10" s="247"/>
      <c r="E10" s="247"/>
      <c r="F10" s="83"/>
      <c r="G10" s="73"/>
    </row>
    <row r="11" spans="1:11" ht="23.25" hidden="1" customHeight="1" x14ac:dyDescent="0.45">
      <c r="A11" s="79"/>
      <c r="B11" s="33" t="s">
        <v>114</v>
      </c>
      <c r="C11" s="33"/>
      <c r="D11" s="247"/>
      <c r="E11" s="247"/>
      <c r="F11" s="83"/>
      <c r="G11" s="73"/>
    </row>
    <row r="12" spans="1:11" ht="23.25" customHeight="1" x14ac:dyDescent="0.45">
      <c r="A12" s="79"/>
      <c r="B12" s="33"/>
      <c r="C12" s="248"/>
      <c r="D12" s="249"/>
      <c r="E12" s="174"/>
      <c r="F12" s="83"/>
      <c r="G12" s="73"/>
    </row>
    <row r="13" spans="1:11" s="6" customFormat="1" ht="52.25" customHeight="1" x14ac:dyDescent="0.35">
      <c r="A13" s="88" t="s">
        <v>23</v>
      </c>
      <c r="B13" s="89" t="s">
        <v>24</v>
      </c>
      <c r="C13" s="116" t="s">
        <v>166</v>
      </c>
      <c r="D13" s="116" t="s">
        <v>214</v>
      </c>
      <c r="E13" s="69" t="s">
        <v>213</v>
      </c>
      <c r="F13" s="89" t="s">
        <v>25</v>
      </c>
      <c r="K13" s="84"/>
    </row>
    <row r="14" spans="1:11" s="12" customFormat="1" ht="45.65" customHeight="1" x14ac:dyDescent="0.35">
      <c r="A14" s="90">
        <v>1</v>
      </c>
      <c r="B14" s="33" t="s">
        <v>15</v>
      </c>
      <c r="C14" s="34">
        <v>7000000</v>
      </c>
      <c r="D14" s="34">
        <v>6135700</v>
      </c>
      <c r="E14" s="34">
        <v>6135700</v>
      </c>
      <c r="F14" s="20" t="s">
        <v>244</v>
      </c>
      <c r="G14" s="35"/>
      <c r="K14" s="85"/>
    </row>
    <row r="15" spans="1:11" s="12" customFormat="1" ht="60" customHeight="1" x14ac:dyDescent="0.35">
      <c r="A15" s="90">
        <f t="shared" ref="A15:A44" si="2">A14+1</f>
        <v>2</v>
      </c>
      <c r="B15" s="33" t="s">
        <v>1</v>
      </c>
      <c r="C15" s="34">
        <f>C14+C26</f>
        <v>7500000</v>
      </c>
      <c r="D15" s="34">
        <f>D14</f>
        <v>6135700</v>
      </c>
      <c r="E15" s="34" t="s">
        <v>10</v>
      </c>
      <c r="F15" s="21" t="s">
        <v>146</v>
      </c>
      <c r="G15" s="86"/>
      <c r="K15" s="85"/>
    </row>
    <row r="16" spans="1:11" s="12" customFormat="1" ht="49.25" customHeight="1" x14ac:dyDescent="0.35">
      <c r="A16" s="90">
        <f t="shared" si="2"/>
        <v>3</v>
      </c>
      <c r="B16" s="33" t="s">
        <v>16</v>
      </c>
      <c r="C16" s="34" t="s">
        <v>10</v>
      </c>
      <c r="D16" s="34" t="s">
        <v>10</v>
      </c>
      <c r="E16" s="57">
        <v>0</v>
      </c>
      <c r="F16" s="13" t="s">
        <v>103</v>
      </c>
      <c r="K16" s="85"/>
    </row>
    <row r="17" spans="1:11" s="12" customFormat="1" ht="46.75" customHeight="1" x14ac:dyDescent="0.35">
      <c r="A17" s="90">
        <f t="shared" si="2"/>
        <v>4</v>
      </c>
      <c r="B17" s="21" t="s">
        <v>222</v>
      </c>
      <c r="C17" s="173" t="s">
        <v>243</v>
      </c>
      <c r="D17" s="173" t="s">
        <v>243</v>
      </c>
      <c r="E17" s="173" t="s">
        <v>229</v>
      </c>
      <c r="F17" s="21" t="s">
        <v>245</v>
      </c>
      <c r="G17" s="74"/>
      <c r="K17" s="85"/>
    </row>
    <row r="18" spans="1:11" s="12" customFormat="1" ht="49.25" customHeight="1" x14ac:dyDescent="0.35">
      <c r="A18" s="90">
        <f t="shared" si="2"/>
        <v>5</v>
      </c>
      <c r="B18" s="22" t="s">
        <v>37</v>
      </c>
      <c r="C18" s="32" t="s">
        <v>38</v>
      </c>
      <c r="D18" s="32" t="s">
        <v>38</v>
      </c>
      <c r="E18" s="32" t="s">
        <v>38</v>
      </c>
      <c r="F18" s="23" t="s">
        <v>246</v>
      </c>
      <c r="K18" s="85"/>
    </row>
    <row r="19" spans="1:11" s="12" customFormat="1" ht="47.4" customHeight="1" x14ac:dyDescent="0.35">
      <c r="A19" s="90">
        <f t="shared" si="2"/>
        <v>6</v>
      </c>
      <c r="B19" s="39" t="s">
        <v>2</v>
      </c>
      <c r="C19" s="32">
        <v>2</v>
      </c>
      <c r="D19" s="32">
        <v>2</v>
      </c>
      <c r="E19" s="32">
        <v>2</v>
      </c>
      <c r="F19" s="23" t="s">
        <v>247</v>
      </c>
      <c r="K19" s="85"/>
    </row>
    <row r="20" spans="1:11" s="12" customFormat="1" ht="52.5" customHeight="1" x14ac:dyDescent="0.35">
      <c r="A20" s="90">
        <f t="shared" si="2"/>
        <v>7</v>
      </c>
      <c r="B20" s="33" t="s">
        <v>3</v>
      </c>
      <c r="C20" s="32">
        <v>3</v>
      </c>
      <c r="D20" s="32">
        <v>3</v>
      </c>
      <c r="E20" s="32">
        <v>3</v>
      </c>
      <c r="F20" s="23" t="s">
        <v>248</v>
      </c>
    </row>
    <row r="21" spans="1:11" s="12" customFormat="1" ht="47.4" customHeight="1" x14ac:dyDescent="0.35">
      <c r="A21" s="90">
        <f t="shared" si="2"/>
        <v>8</v>
      </c>
      <c r="B21" s="22" t="s">
        <v>40</v>
      </c>
      <c r="C21" s="24">
        <v>0.3</v>
      </c>
      <c r="D21" s="24">
        <v>0.3</v>
      </c>
      <c r="E21" s="24">
        <v>0.3</v>
      </c>
      <c r="F21" s="23" t="s">
        <v>249</v>
      </c>
    </row>
    <row r="22" spans="1:11" s="12" customFormat="1" ht="50.25" customHeight="1" x14ac:dyDescent="0.35">
      <c r="A22" s="90">
        <f t="shared" si="2"/>
        <v>9</v>
      </c>
      <c r="B22" s="33" t="s">
        <v>42</v>
      </c>
      <c r="C22" s="40">
        <v>0</v>
      </c>
      <c r="D22" s="40">
        <v>0</v>
      </c>
      <c r="E22" s="40">
        <v>0</v>
      </c>
      <c r="F22" s="13" t="s">
        <v>159</v>
      </c>
      <c r="G22" s="86"/>
    </row>
    <row r="23" spans="1:11" s="12" customFormat="1" ht="50.4" hidden="1" customHeight="1" x14ac:dyDescent="0.35">
      <c r="A23" s="90">
        <f t="shared" si="2"/>
        <v>10</v>
      </c>
      <c r="B23" s="41" t="s">
        <v>43</v>
      </c>
      <c r="C23" s="42">
        <v>0</v>
      </c>
      <c r="D23" s="42">
        <v>0</v>
      </c>
      <c r="E23" s="42">
        <v>0</v>
      </c>
      <c r="F23" s="15" t="s">
        <v>152</v>
      </c>
    </row>
    <row r="24" spans="1:11" s="12" customFormat="1" ht="45.65" customHeight="1" x14ac:dyDescent="0.35">
      <c r="A24" s="90">
        <f t="shared" si="2"/>
        <v>11</v>
      </c>
      <c r="B24" s="43" t="s">
        <v>151</v>
      </c>
      <c r="C24" s="42">
        <v>250000</v>
      </c>
      <c r="D24" s="42">
        <v>250000</v>
      </c>
      <c r="E24" s="42">
        <v>250000</v>
      </c>
      <c r="F24" s="44" t="s">
        <v>250</v>
      </c>
    </row>
    <row r="25" spans="1:11" s="12" customFormat="1" ht="45.65" customHeight="1" x14ac:dyDescent="0.35">
      <c r="A25" s="90">
        <f t="shared" si="2"/>
        <v>12</v>
      </c>
      <c r="B25" s="43" t="s">
        <v>219</v>
      </c>
      <c r="C25" s="42">
        <v>300000</v>
      </c>
      <c r="D25" s="42">
        <v>300000</v>
      </c>
      <c r="E25" s="42">
        <v>300000</v>
      </c>
      <c r="F25" s="44" t="s">
        <v>251</v>
      </c>
    </row>
    <row r="26" spans="1:11" s="12" customFormat="1" ht="45.65" customHeight="1" x14ac:dyDescent="0.35">
      <c r="A26" s="90">
        <f t="shared" si="2"/>
        <v>13</v>
      </c>
      <c r="B26" s="15" t="s">
        <v>211</v>
      </c>
      <c r="C26" s="42">
        <v>500000</v>
      </c>
      <c r="D26" s="42"/>
      <c r="E26" s="42"/>
      <c r="F26" s="44" t="s">
        <v>250</v>
      </c>
    </row>
    <row r="27" spans="1:11" s="12" customFormat="1" ht="56.4" customHeight="1" x14ac:dyDescent="0.35">
      <c r="A27" s="90">
        <f t="shared" si="2"/>
        <v>14</v>
      </c>
      <c r="B27" s="15" t="s">
        <v>254</v>
      </c>
      <c r="C27" s="42" t="s">
        <v>9</v>
      </c>
      <c r="D27" s="42" t="s">
        <v>10</v>
      </c>
      <c r="E27" s="42"/>
      <c r="F27" s="44" t="s">
        <v>253</v>
      </c>
    </row>
    <row r="28" spans="1:11" s="12" customFormat="1" ht="66.650000000000006" customHeight="1" x14ac:dyDescent="0.35">
      <c r="A28" s="90">
        <f t="shared" si="2"/>
        <v>15</v>
      </c>
      <c r="B28" s="45" t="s">
        <v>109</v>
      </c>
      <c r="C28" s="46" t="s">
        <v>96</v>
      </c>
      <c r="D28" s="46" t="s">
        <v>96</v>
      </c>
      <c r="E28" s="42" t="s">
        <v>10</v>
      </c>
      <c r="F28" s="77" t="s">
        <v>231</v>
      </c>
    </row>
    <row r="29" spans="1:11" s="12" customFormat="1" ht="98.4" customHeight="1" x14ac:dyDescent="0.35">
      <c r="A29" s="90">
        <f t="shared" si="2"/>
        <v>16</v>
      </c>
      <c r="B29" s="47" t="s">
        <v>33</v>
      </c>
      <c r="C29" s="46" t="s">
        <v>160</v>
      </c>
      <c r="D29" s="46" t="s">
        <v>160</v>
      </c>
      <c r="E29" s="46" t="s">
        <v>160</v>
      </c>
      <c r="F29" s="13" t="s">
        <v>232</v>
      </c>
      <c r="G29" s="85"/>
      <c r="H29" s="85">
        <f>4472600-G29</f>
        <v>4472600</v>
      </c>
      <c r="I29" s="85"/>
      <c r="J29" s="48"/>
    </row>
    <row r="30" spans="1:11" s="12" customFormat="1" ht="68.400000000000006" customHeight="1" x14ac:dyDescent="0.35">
      <c r="A30" s="90">
        <f t="shared" si="2"/>
        <v>17</v>
      </c>
      <c r="B30" s="21" t="s">
        <v>47</v>
      </c>
      <c r="C30" s="50" t="s">
        <v>9</v>
      </c>
      <c r="D30" s="50" t="s">
        <v>9</v>
      </c>
      <c r="E30" s="42" t="s">
        <v>10</v>
      </c>
      <c r="F30" s="21" t="s">
        <v>60</v>
      </c>
    </row>
    <row r="31" spans="1:11" s="12" customFormat="1" ht="53.4" customHeight="1" x14ac:dyDescent="0.35">
      <c r="A31" s="90">
        <f t="shared" si="2"/>
        <v>18</v>
      </c>
      <c r="B31" s="33" t="s">
        <v>4</v>
      </c>
      <c r="C31" s="32"/>
      <c r="D31" s="32"/>
      <c r="E31" s="32"/>
      <c r="F31" s="21" t="s">
        <v>218</v>
      </c>
      <c r="G31" s="85"/>
    </row>
    <row r="32" spans="1:11" s="12" customFormat="1" ht="41" customHeight="1" x14ac:dyDescent="0.35">
      <c r="A32" s="90">
        <f t="shared" si="2"/>
        <v>19</v>
      </c>
      <c r="B32" s="175" t="s">
        <v>147</v>
      </c>
      <c r="C32" s="176"/>
      <c r="D32" s="176"/>
      <c r="E32" s="176"/>
      <c r="F32" s="177" t="s">
        <v>153</v>
      </c>
      <c r="G32" s="85"/>
    </row>
    <row r="33" spans="1:7" s="53" customFormat="1" ht="42.65" customHeight="1" x14ac:dyDescent="0.35">
      <c r="A33" s="90">
        <f t="shared" si="2"/>
        <v>20</v>
      </c>
      <c r="B33" s="51" t="s">
        <v>5</v>
      </c>
      <c r="C33" s="32"/>
      <c r="D33" s="32"/>
      <c r="E33" s="32"/>
      <c r="F33" s="52" t="s">
        <v>6</v>
      </c>
    </row>
    <row r="34" spans="1:7" s="53" customFormat="1" ht="42.65" customHeight="1" x14ac:dyDescent="0.35">
      <c r="A34" s="90">
        <f t="shared" si="2"/>
        <v>21</v>
      </c>
      <c r="B34" s="22" t="s">
        <v>48</v>
      </c>
      <c r="C34" s="32"/>
      <c r="D34" s="32"/>
      <c r="E34" s="32"/>
      <c r="F34" s="21" t="s">
        <v>49</v>
      </c>
    </row>
    <row r="35" spans="1:7" s="12" customFormat="1" ht="42.65" customHeight="1" x14ac:dyDescent="0.35">
      <c r="A35" s="90">
        <f t="shared" si="2"/>
        <v>22</v>
      </c>
      <c r="B35" s="13" t="s">
        <v>19</v>
      </c>
      <c r="C35" s="42" t="s">
        <v>160</v>
      </c>
      <c r="D35" s="42" t="s">
        <v>160</v>
      </c>
      <c r="E35" s="42" t="s">
        <v>160</v>
      </c>
      <c r="F35" s="21" t="s">
        <v>108</v>
      </c>
    </row>
    <row r="36" spans="1:7" s="12" customFormat="1" ht="42.65" customHeight="1" x14ac:dyDescent="0.35">
      <c r="A36" s="90">
        <f t="shared" si="2"/>
        <v>23</v>
      </c>
      <c r="B36" s="33" t="s">
        <v>68</v>
      </c>
      <c r="C36" s="55"/>
      <c r="D36" s="55"/>
      <c r="E36" s="42"/>
      <c r="F36" s="21" t="s">
        <v>239</v>
      </c>
    </row>
    <row r="37" spans="1:7" s="12" customFormat="1" ht="48" customHeight="1" x14ac:dyDescent="0.35">
      <c r="A37" s="90">
        <f t="shared" si="2"/>
        <v>24</v>
      </c>
      <c r="B37" s="13" t="s">
        <v>7</v>
      </c>
      <c r="C37" s="57" t="s">
        <v>9</v>
      </c>
      <c r="D37" s="57" t="s">
        <v>9</v>
      </c>
      <c r="E37" s="57" t="s">
        <v>9</v>
      </c>
      <c r="F37" s="13" t="s">
        <v>252</v>
      </c>
    </row>
    <row r="38" spans="1:7" s="12" customFormat="1" ht="44" customHeight="1" x14ac:dyDescent="0.35">
      <c r="A38" s="90">
        <f t="shared" si="2"/>
        <v>25</v>
      </c>
      <c r="B38" s="33" t="s">
        <v>21</v>
      </c>
      <c r="C38" s="92" t="s">
        <v>9</v>
      </c>
      <c r="D38" s="92" t="s">
        <v>9</v>
      </c>
      <c r="E38" s="93" t="s">
        <v>10</v>
      </c>
      <c r="F38" s="20" t="s">
        <v>119</v>
      </c>
    </row>
    <row r="39" spans="1:7" s="12" customFormat="1" ht="44" customHeight="1" x14ac:dyDescent="0.35">
      <c r="A39" s="90">
        <f t="shared" si="2"/>
        <v>26</v>
      </c>
      <c r="B39" s="33" t="s">
        <v>22</v>
      </c>
      <c r="C39" s="92" t="s">
        <v>9</v>
      </c>
      <c r="D39" s="92" t="s">
        <v>9</v>
      </c>
      <c r="E39" s="93" t="s">
        <v>10</v>
      </c>
      <c r="F39" s="94" t="s">
        <v>120</v>
      </c>
      <c r="G39" s="87"/>
    </row>
    <row r="40" spans="1:7" s="12" customFormat="1" ht="42.5" customHeight="1" x14ac:dyDescent="0.35">
      <c r="A40" s="90">
        <f t="shared" si="2"/>
        <v>27</v>
      </c>
      <c r="B40" s="22" t="s">
        <v>56</v>
      </c>
      <c r="C40" s="42" t="s">
        <v>10</v>
      </c>
      <c r="D40" s="42" t="s">
        <v>10</v>
      </c>
      <c r="E40" s="42" t="s">
        <v>10</v>
      </c>
      <c r="F40" s="21" t="s">
        <v>103</v>
      </c>
      <c r="G40" s="91"/>
    </row>
    <row r="41" spans="1:7" s="12" customFormat="1" ht="40" customHeight="1" x14ac:dyDescent="0.35">
      <c r="A41" s="90">
        <f t="shared" si="2"/>
        <v>28</v>
      </c>
      <c r="B41" s="22" t="s">
        <v>57</v>
      </c>
      <c r="C41" s="42" t="s">
        <v>10</v>
      </c>
      <c r="D41" s="42" t="s">
        <v>10</v>
      </c>
      <c r="E41" s="42" t="s">
        <v>10</v>
      </c>
      <c r="F41" s="21" t="s">
        <v>103</v>
      </c>
    </row>
    <row r="42" spans="1:7" s="12" customFormat="1" ht="40" customHeight="1" x14ac:dyDescent="0.35">
      <c r="A42" s="90">
        <f t="shared" si="2"/>
        <v>29</v>
      </c>
      <c r="B42" s="22" t="s">
        <v>58</v>
      </c>
      <c r="C42" s="42" t="s">
        <v>9</v>
      </c>
      <c r="D42" s="42" t="s">
        <v>9</v>
      </c>
      <c r="E42" s="42" t="s">
        <v>9</v>
      </c>
      <c r="F42" s="21" t="s">
        <v>215</v>
      </c>
    </row>
    <row r="43" spans="1:7" s="12" customFormat="1" ht="43.75" customHeight="1" x14ac:dyDescent="0.35">
      <c r="A43" s="90">
        <f t="shared" si="2"/>
        <v>30</v>
      </c>
      <c r="B43" s="22" t="s">
        <v>59</v>
      </c>
      <c r="C43" s="42" t="s">
        <v>9</v>
      </c>
      <c r="D43" s="42" t="s">
        <v>9</v>
      </c>
      <c r="E43" s="42" t="s">
        <v>10</v>
      </c>
      <c r="F43" s="21" t="s">
        <v>216</v>
      </c>
    </row>
    <row r="44" spans="1:7" s="12" customFormat="1" ht="24.75" hidden="1" customHeight="1" x14ac:dyDescent="0.35">
      <c r="A44" s="90">
        <f t="shared" si="2"/>
        <v>31</v>
      </c>
      <c r="B44" s="22" t="s">
        <v>118</v>
      </c>
      <c r="C44" s="42" t="s">
        <v>10</v>
      </c>
      <c r="D44" s="42" t="s">
        <v>10</v>
      </c>
      <c r="E44" s="42" t="s">
        <v>10</v>
      </c>
      <c r="F44" s="21" t="s">
        <v>117</v>
      </c>
    </row>
    <row r="45" spans="1:7" ht="19" x14ac:dyDescent="0.3">
      <c r="B45" s="7"/>
    </row>
    <row r="46" spans="1:7" s="78" customFormat="1" ht="19" customHeight="1" x14ac:dyDescent="0.3">
      <c r="A46" s="244" t="s">
        <v>235</v>
      </c>
      <c r="B46" s="244"/>
      <c r="C46" s="244"/>
      <c r="D46" s="244"/>
      <c r="E46" s="244"/>
      <c r="F46" s="244"/>
    </row>
    <row r="47" spans="1:7" ht="19" x14ac:dyDescent="0.3">
      <c r="B47" s="7"/>
    </row>
    <row r="48" spans="1:7" ht="19" x14ac:dyDescent="0.3">
      <c r="B48" s="7"/>
    </row>
    <row r="49" spans="1:6" ht="19" x14ac:dyDescent="0.3">
      <c r="B49" s="7"/>
    </row>
    <row r="50" spans="1:6" ht="19" x14ac:dyDescent="0.3">
      <c r="B50" s="7"/>
    </row>
    <row r="51" spans="1:6" ht="19" x14ac:dyDescent="0.3">
      <c r="A51" s="117" t="s">
        <v>236</v>
      </c>
      <c r="B51" s="7"/>
    </row>
    <row r="52" spans="1:6" ht="19" x14ac:dyDescent="0.3">
      <c r="B52" s="7"/>
    </row>
    <row r="53" spans="1:6" s="12" customFormat="1" ht="15.5" x14ac:dyDescent="0.35">
      <c r="B53" s="112" t="s">
        <v>121</v>
      </c>
      <c r="C53" s="113"/>
      <c r="D53" s="113"/>
      <c r="E53" s="113"/>
      <c r="F53" s="12" t="s">
        <v>220</v>
      </c>
    </row>
    <row r="54" spans="1:6" s="12" customFormat="1" ht="15.5" x14ac:dyDescent="0.35">
      <c r="A54" s="114" t="s">
        <v>123</v>
      </c>
      <c r="B54" s="115" t="s">
        <v>122</v>
      </c>
      <c r="C54" s="113"/>
      <c r="D54" s="113"/>
      <c r="E54" s="113"/>
      <c r="F54" s="12" t="s">
        <v>154</v>
      </c>
    </row>
    <row r="55" spans="1:6" s="12" customFormat="1" ht="15.5" x14ac:dyDescent="0.35">
      <c r="A55" s="114" t="s">
        <v>123</v>
      </c>
      <c r="B55" s="115" t="s">
        <v>124</v>
      </c>
      <c r="C55" s="113"/>
      <c r="D55" s="113"/>
      <c r="E55" s="113"/>
    </row>
    <row r="56" spans="1:6" s="12" customFormat="1" ht="15.5" x14ac:dyDescent="0.35">
      <c r="A56" s="114" t="s">
        <v>123</v>
      </c>
      <c r="B56" s="115" t="s">
        <v>125</v>
      </c>
      <c r="C56" s="113"/>
      <c r="D56" s="113"/>
      <c r="E56" s="113"/>
    </row>
    <row r="57" spans="1:6" s="12" customFormat="1" ht="15.5" x14ac:dyDescent="0.35">
      <c r="C57" s="113"/>
      <c r="D57" s="113"/>
      <c r="E57" s="113"/>
    </row>
  </sheetData>
  <mergeCells count="7">
    <mergeCell ref="A46:F46"/>
    <mergeCell ref="A2:F2"/>
    <mergeCell ref="A3:F3"/>
    <mergeCell ref="D9:E9"/>
    <mergeCell ref="D10:E10"/>
    <mergeCell ref="D11:E11"/>
    <mergeCell ref="C12:D12"/>
  </mergeCells>
  <pageMargins left="0.17" right="0.17" top="0.17" bottom="0.17" header="0.17" footer="0.18"/>
  <pageSetup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989"/>
  <sheetViews>
    <sheetView topLeftCell="A5" zoomScale="70" zoomScaleNormal="70" workbookViewId="0">
      <pane xSplit="3" ySplit="1" topLeftCell="D12" activePane="bottomRight" state="frozen"/>
      <selection activeCell="A5" sqref="A5"/>
      <selection pane="topRight" activeCell="D5" sqref="D5"/>
      <selection pane="bottomLeft" activeCell="A6" sqref="A6"/>
      <selection pane="bottomRight" activeCell="E18" sqref="E18"/>
    </sheetView>
  </sheetViews>
  <sheetFormatPr defaultColWidth="14" defaultRowHeight="15" customHeight="1" x14ac:dyDescent="0.35"/>
  <cols>
    <col min="1" max="1" width="3.36328125" style="123" customWidth="1"/>
    <col min="2" max="2" width="14.6328125" style="123" customWidth="1"/>
    <col min="3" max="3" width="72.81640625" style="123" customWidth="1"/>
    <col min="4" max="4" width="19.54296875" style="123" customWidth="1"/>
    <col min="5" max="6" width="22.453125" style="123" customWidth="1"/>
    <col min="7" max="7" width="20.6328125" style="123" customWidth="1"/>
    <col min="8" max="8" width="37.1796875" style="123" customWidth="1"/>
    <col min="9" max="9" width="3.54296875" style="123" customWidth="1"/>
    <col min="10" max="10" width="16.1796875" style="123" customWidth="1"/>
    <col min="11" max="11" width="14.6328125" style="123" customWidth="1"/>
    <col min="12" max="12" width="17.453125" style="123" customWidth="1"/>
    <col min="13" max="31" width="8.90625" style="123" customWidth="1"/>
    <col min="32" max="16384" width="14" style="123"/>
  </cols>
  <sheetData>
    <row r="1" spans="1:31" ht="79.5" customHeight="1" thickTop="1" x14ac:dyDescent="0.35">
      <c r="A1" s="119"/>
      <c r="B1" s="273"/>
      <c r="C1" s="274"/>
      <c r="D1" s="274"/>
      <c r="E1" s="120"/>
      <c r="F1" s="120"/>
      <c r="G1" s="120"/>
      <c r="H1" s="120"/>
      <c r="I1" s="121"/>
      <c r="J1" s="122"/>
      <c r="K1" s="122"/>
      <c r="L1" s="122"/>
      <c r="M1" s="122"/>
      <c r="N1" s="122"/>
      <c r="O1" s="122"/>
      <c r="P1" s="122"/>
      <c r="Q1" s="122"/>
      <c r="R1" s="122"/>
      <c r="S1" s="122"/>
      <c r="T1" s="122"/>
      <c r="U1" s="122"/>
      <c r="V1" s="122"/>
      <c r="W1" s="122"/>
      <c r="X1" s="122"/>
      <c r="Y1" s="122"/>
      <c r="Z1" s="122"/>
      <c r="AA1" s="122"/>
      <c r="AB1" s="122"/>
      <c r="AC1" s="122"/>
      <c r="AD1" s="122"/>
      <c r="AE1" s="122"/>
    </row>
    <row r="2" spans="1:31" ht="32.25" customHeight="1" x14ac:dyDescent="0.35">
      <c r="A2" s="124"/>
      <c r="B2" s="275" t="s">
        <v>162</v>
      </c>
      <c r="C2" s="276"/>
      <c r="D2" s="276"/>
      <c r="E2" s="276"/>
      <c r="F2" s="276"/>
      <c r="G2" s="276"/>
      <c r="H2" s="276"/>
      <c r="I2" s="125"/>
      <c r="J2" s="122"/>
      <c r="K2" s="122"/>
      <c r="L2" s="122"/>
      <c r="M2" s="122"/>
      <c r="N2" s="122"/>
      <c r="O2" s="122"/>
      <c r="P2" s="122"/>
      <c r="Q2" s="122"/>
      <c r="R2" s="122"/>
      <c r="S2" s="122"/>
      <c r="T2" s="122"/>
      <c r="U2" s="122"/>
      <c r="V2" s="122"/>
      <c r="W2" s="122"/>
      <c r="X2" s="122"/>
      <c r="Y2" s="122"/>
      <c r="Z2" s="122"/>
      <c r="AA2" s="122"/>
      <c r="AB2" s="122"/>
      <c r="AC2" s="122"/>
      <c r="AD2" s="122"/>
      <c r="AE2" s="122"/>
    </row>
    <row r="3" spans="1:31" ht="15.75" customHeight="1" x14ac:dyDescent="0.35">
      <c r="A3" s="124"/>
      <c r="B3" s="126"/>
      <c r="C3" s="126"/>
      <c r="D3" s="126"/>
      <c r="E3" s="127"/>
      <c r="F3" s="127"/>
      <c r="G3" s="126"/>
      <c r="H3" s="126"/>
      <c r="I3" s="125"/>
      <c r="J3" s="122"/>
      <c r="K3" s="122"/>
      <c r="L3" s="122"/>
      <c r="M3" s="122"/>
      <c r="N3" s="122"/>
      <c r="O3" s="122"/>
      <c r="P3" s="122"/>
      <c r="Q3" s="122"/>
      <c r="R3" s="122"/>
      <c r="S3" s="122"/>
      <c r="T3" s="122"/>
      <c r="U3" s="122"/>
      <c r="V3" s="122"/>
      <c r="W3" s="122"/>
      <c r="X3" s="122"/>
      <c r="Y3" s="122"/>
      <c r="Z3" s="122"/>
      <c r="AA3" s="122"/>
      <c r="AB3" s="122"/>
      <c r="AC3" s="122"/>
      <c r="AD3" s="122"/>
      <c r="AE3" s="122"/>
    </row>
    <row r="4" spans="1:31" ht="31" customHeight="1" x14ac:dyDescent="0.35">
      <c r="A4" s="124"/>
      <c r="B4" s="128"/>
      <c r="C4" s="129"/>
      <c r="D4" s="130"/>
      <c r="E4" s="131" t="s">
        <v>163</v>
      </c>
      <c r="F4" s="131" t="s">
        <v>163</v>
      </c>
      <c r="G4" s="130"/>
      <c r="H4" s="130"/>
      <c r="I4" s="125"/>
      <c r="J4" s="122"/>
      <c r="K4" s="122"/>
      <c r="L4" s="122"/>
      <c r="M4" s="122"/>
      <c r="N4" s="122"/>
      <c r="O4" s="122"/>
      <c r="P4" s="122"/>
      <c r="Q4" s="122"/>
      <c r="R4" s="122"/>
      <c r="S4" s="122"/>
      <c r="T4" s="122"/>
      <c r="U4" s="122"/>
      <c r="V4" s="122"/>
      <c r="W4" s="122"/>
      <c r="X4" s="122"/>
      <c r="Y4" s="122"/>
      <c r="Z4" s="122"/>
      <c r="AA4" s="122"/>
      <c r="AB4" s="122"/>
      <c r="AC4" s="122"/>
      <c r="AD4" s="122"/>
      <c r="AE4" s="122"/>
    </row>
    <row r="5" spans="1:31" ht="50" customHeight="1" x14ac:dyDescent="0.35">
      <c r="A5" s="124"/>
      <c r="B5" s="132" t="s">
        <v>164</v>
      </c>
      <c r="C5" s="132" t="s">
        <v>155</v>
      </c>
      <c r="D5" s="132" t="s">
        <v>156</v>
      </c>
      <c r="E5" s="133" t="s">
        <v>165</v>
      </c>
      <c r="F5" s="133" t="s">
        <v>166</v>
      </c>
      <c r="G5" s="277" t="s">
        <v>157</v>
      </c>
      <c r="H5" s="254"/>
      <c r="I5" s="125"/>
      <c r="J5" s="122"/>
      <c r="K5" s="122"/>
      <c r="L5" s="122"/>
      <c r="M5" s="122"/>
      <c r="N5" s="122"/>
      <c r="O5" s="122"/>
      <c r="P5" s="122"/>
      <c r="Q5" s="122"/>
      <c r="R5" s="122"/>
      <c r="S5" s="122"/>
      <c r="T5" s="122"/>
      <c r="U5" s="122"/>
      <c r="V5" s="122"/>
      <c r="W5" s="122"/>
      <c r="X5" s="122"/>
      <c r="Y5" s="122"/>
      <c r="Z5" s="122"/>
      <c r="AA5" s="122"/>
      <c r="AB5" s="122"/>
      <c r="AC5" s="122"/>
      <c r="AD5" s="122"/>
      <c r="AE5" s="122"/>
    </row>
    <row r="6" spans="1:31" ht="40.25" customHeight="1" x14ac:dyDescent="0.35">
      <c r="A6" s="124"/>
      <c r="B6" s="134">
        <v>1</v>
      </c>
      <c r="C6" s="135" t="s">
        <v>167</v>
      </c>
      <c r="D6" s="136" t="s">
        <v>168</v>
      </c>
      <c r="E6" s="137">
        <v>6135700</v>
      </c>
      <c r="F6" s="138">
        <v>7000000</v>
      </c>
      <c r="G6" s="264"/>
      <c r="H6" s="254"/>
      <c r="I6" s="125"/>
      <c r="J6" s="139"/>
      <c r="K6" s="140"/>
      <c r="L6" s="122"/>
      <c r="M6" s="122"/>
      <c r="N6" s="122"/>
      <c r="O6" s="122"/>
      <c r="P6" s="122"/>
      <c r="Q6" s="122"/>
      <c r="R6" s="122"/>
      <c r="S6" s="122"/>
      <c r="T6" s="122"/>
      <c r="U6" s="122"/>
      <c r="V6" s="122"/>
      <c r="W6" s="122"/>
      <c r="X6" s="122"/>
      <c r="Y6" s="122"/>
      <c r="Z6" s="122"/>
      <c r="AA6" s="122"/>
      <c r="AB6" s="122"/>
      <c r="AC6" s="122"/>
      <c r="AD6" s="122"/>
      <c r="AE6" s="122"/>
    </row>
    <row r="7" spans="1:31" ht="51.5" customHeight="1" x14ac:dyDescent="0.35">
      <c r="A7" s="124"/>
      <c r="B7" s="134">
        <v>2</v>
      </c>
      <c r="C7" s="135" t="s">
        <v>169</v>
      </c>
      <c r="D7" s="136" t="s">
        <v>168</v>
      </c>
      <c r="E7" s="137">
        <v>250000</v>
      </c>
      <c r="F7" s="141">
        <v>250000</v>
      </c>
      <c r="G7" s="266" t="s">
        <v>170</v>
      </c>
      <c r="H7" s="254"/>
      <c r="I7" s="125"/>
      <c r="J7" s="122"/>
      <c r="K7" s="122"/>
      <c r="L7" s="122"/>
      <c r="M7" s="122"/>
      <c r="N7" s="122"/>
      <c r="O7" s="122"/>
      <c r="P7" s="122"/>
      <c r="Q7" s="122"/>
      <c r="R7" s="122"/>
      <c r="S7" s="122"/>
      <c r="T7" s="122"/>
      <c r="U7" s="122"/>
      <c r="V7" s="122"/>
      <c r="W7" s="122"/>
      <c r="X7" s="122"/>
      <c r="Y7" s="122"/>
      <c r="Z7" s="122"/>
      <c r="AA7" s="122"/>
      <c r="AB7" s="122"/>
      <c r="AC7" s="122"/>
      <c r="AD7" s="122"/>
      <c r="AE7" s="122"/>
    </row>
    <row r="8" spans="1:31" ht="40.25" customHeight="1" x14ac:dyDescent="0.35">
      <c r="A8" s="124"/>
      <c r="B8" s="134">
        <v>3</v>
      </c>
      <c r="C8" s="135" t="s">
        <v>171</v>
      </c>
      <c r="D8" s="136" t="s">
        <v>168</v>
      </c>
      <c r="E8" s="137">
        <v>300000</v>
      </c>
      <c r="F8" s="141">
        <v>300000</v>
      </c>
      <c r="G8" s="266" t="s">
        <v>172</v>
      </c>
      <c r="H8" s="254"/>
      <c r="I8" s="125"/>
      <c r="J8" s="122"/>
      <c r="K8" s="122"/>
      <c r="L8" s="122"/>
      <c r="M8" s="122"/>
      <c r="N8" s="122"/>
      <c r="O8" s="122"/>
      <c r="P8" s="122"/>
      <c r="Q8" s="122"/>
      <c r="R8" s="122"/>
      <c r="S8" s="122"/>
      <c r="T8" s="122"/>
      <c r="U8" s="122"/>
      <c r="V8" s="122"/>
      <c r="W8" s="122"/>
      <c r="X8" s="122"/>
      <c r="Y8" s="122"/>
      <c r="Z8" s="122"/>
      <c r="AA8" s="122"/>
      <c r="AB8" s="122"/>
      <c r="AC8" s="122"/>
      <c r="AD8" s="122"/>
      <c r="AE8" s="122"/>
    </row>
    <row r="9" spans="1:31" ht="40.25" customHeight="1" x14ac:dyDescent="0.35">
      <c r="A9" s="124"/>
      <c r="B9" s="134">
        <v>4</v>
      </c>
      <c r="C9" s="135" t="s">
        <v>173</v>
      </c>
      <c r="D9" s="136" t="s">
        <v>168</v>
      </c>
      <c r="E9" s="137">
        <v>0</v>
      </c>
      <c r="F9" s="141">
        <v>500000</v>
      </c>
      <c r="G9" s="269" t="s">
        <v>174</v>
      </c>
      <c r="H9" s="254"/>
      <c r="I9" s="125"/>
      <c r="J9" s="122"/>
      <c r="K9" s="122"/>
      <c r="L9" s="122"/>
      <c r="M9" s="122"/>
      <c r="N9" s="122"/>
      <c r="O9" s="122"/>
      <c r="P9" s="122"/>
      <c r="Q9" s="122"/>
      <c r="R9" s="122"/>
      <c r="S9" s="122"/>
      <c r="T9" s="122"/>
      <c r="U9" s="122"/>
      <c r="V9" s="122"/>
      <c r="W9" s="122"/>
      <c r="X9" s="122"/>
      <c r="Y9" s="122"/>
      <c r="Z9" s="122"/>
      <c r="AA9" s="122"/>
      <c r="AB9" s="122"/>
      <c r="AC9" s="122"/>
      <c r="AD9" s="122"/>
      <c r="AE9" s="122"/>
    </row>
    <row r="10" spans="1:31" ht="50" customHeight="1" x14ac:dyDescent="0.35">
      <c r="A10" s="124"/>
      <c r="B10" s="142" t="s">
        <v>175</v>
      </c>
      <c r="C10" s="142" t="s">
        <v>176</v>
      </c>
      <c r="D10" s="142" t="s">
        <v>168</v>
      </c>
      <c r="E10" s="143">
        <f>SUM(E6:E9)</f>
        <v>6685700</v>
      </c>
      <c r="F10" s="143">
        <f>SUM(F6:F9)</f>
        <v>8050000</v>
      </c>
      <c r="G10" s="270"/>
      <c r="H10" s="258"/>
      <c r="I10" s="125"/>
      <c r="J10" s="139"/>
      <c r="K10" s="140"/>
      <c r="L10" s="122"/>
      <c r="M10" s="122"/>
      <c r="N10" s="122"/>
      <c r="O10" s="122"/>
      <c r="P10" s="122"/>
      <c r="Q10" s="122"/>
      <c r="R10" s="122"/>
      <c r="S10" s="122"/>
      <c r="T10" s="122"/>
      <c r="U10" s="122"/>
      <c r="V10" s="122"/>
      <c r="W10" s="122"/>
      <c r="X10" s="122"/>
      <c r="Y10" s="122"/>
      <c r="Z10" s="122"/>
      <c r="AA10" s="122"/>
      <c r="AB10" s="122"/>
      <c r="AC10" s="122"/>
      <c r="AD10" s="122"/>
      <c r="AE10" s="122"/>
    </row>
    <row r="11" spans="1:31" ht="40.25" customHeight="1" x14ac:dyDescent="0.35">
      <c r="A11" s="124"/>
      <c r="B11" s="134">
        <v>1</v>
      </c>
      <c r="C11" s="135" t="s">
        <v>177</v>
      </c>
      <c r="D11" s="136" t="s">
        <v>178</v>
      </c>
      <c r="E11" s="144">
        <f>(E6+E9)*21.5%</f>
        <v>1319175.5</v>
      </c>
      <c r="F11" s="144">
        <f>(F6+F9)*21.5%</f>
        <v>1612500</v>
      </c>
      <c r="G11" s="271" t="s">
        <v>179</v>
      </c>
      <c r="H11" s="272"/>
      <c r="I11" s="125"/>
      <c r="J11" s="122"/>
      <c r="K11" s="122"/>
      <c r="L11" s="122"/>
      <c r="M11" s="122"/>
      <c r="N11" s="122"/>
      <c r="O11" s="122"/>
      <c r="P11" s="122"/>
      <c r="Q11" s="122"/>
      <c r="R11" s="122"/>
      <c r="S11" s="122"/>
      <c r="T11" s="122"/>
      <c r="U11" s="122"/>
      <c r="V11" s="122"/>
      <c r="W11" s="122"/>
      <c r="X11" s="122"/>
      <c r="Y11" s="122"/>
      <c r="Z11" s="122"/>
      <c r="AA11" s="122"/>
      <c r="AB11" s="122"/>
      <c r="AC11" s="122"/>
      <c r="AD11" s="122"/>
      <c r="AE11" s="122"/>
    </row>
    <row r="12" spans="1:31" ht="40.25" customHeight="1" x14ac:dyDescent="0.35">
      <c r="A12" s="124"/>
      <c r="B12" s="134">
        <v>2</v>
      </c>
      <c r="C12" s="135" t="s">
        <v>180</v>
      </c>
      <c r="D12" s="136" t="s">
        <v>168</v>
      </c>
      <c r="E12" s="137">
        <f>(E6+E9)*2%</f>
        <v>122714</v>
      </c>
      <c r="F12" s="137">
        <f>(F6+F9)*2%</f>
        <v>150000</v>
      </c>
      <c r="G12" s="264"/>
      <c r="H12" s="254"/>
      <c r="I12" s="125"/>
      <c r="J12" s="122"/>
      <c r="K12" s="122"/>
      <c r="L12" s="122"/>
      <c r="M12" s="122"/>
      <c r="N12" s="122"/>
      <c r="O12" s="122"/>
      <c r="P12" s="122"/>
      <c r="Q12" s="122"/>
      <c r="R12" s="122"/>
      <c r="S12" s="122"/>
      <c r="T12" s="122"/>
      <c r="U12" s="122"/>
      <c r="V12" s="122"/>
      <c r="W12" s="122"/>
      <c r="X12" s="122"/>
      <c r="Y12" s="122"/>
      <c r="Z12" s="122"/>
      <c r="AA12" s="122"/>
      <c r="AB12" s="122"/>
      <c r="AC12" s="122"/>
      <c r="AD12" s="122"/>
      <c r="AE12" s="122"/>
    </row>
    <row r="13" spans="1:31" ht="40.25" customHeight="1" x14ac:dyDescent="0.35">
      <c r="A13" s="124"/>
      <c r="B13" s="134">
        <v>3</v>
      </c>
      <c r="C13" s="135" t="s">
        <v>181</v>
      </c>
      <c r="D13" s="136" t="s">
        <v>168</v>
      </c>
      <c r="E13" s="145">
        <v>0</v>
      </c>
      <c r="F13" s="141">
        <v>0</v>
      </c>
      <c r="G13" s="266" t="s">
        <v>182</v>
      </c>
      <c r="H13" s="254"/>
      <c r="I13" s="125"/>
      <c r="J13" s="122"/>
      <c r="K13" s="122"/>
      <c r="L13" s="122"/>
      <c r="M13" s="122"/>
      <c r="N13" s="122"/>
      <c r="O13" s="122"/>
      <c r="P13" s="122"/>
      <c r="Q13" s="122"/>
      <c r="R13" s="122"/>
      <c r="S13" s="122"/>
      <c r="T13" s="122"/>
      <c r="U13" s="122"/>
      <c r="V13" s="122"/>
      <c r="W13" s="122"/>
      <c r="X13" s="122"/>
      <c r="Y13" s="122"/>
      <c r="Z13" s="122"/>
      <c r="AA13" s="122"/>
      <c r="AB13" s="122"/>
      <c r="AC13" s="122"/>
      <c r="AD13" s="122"/>
      <c r="AE13" s="122"/>
    </row>
    <row r="14" spans="1:31" ht="40.25" customHeight="1" x14ac:dyDescent="0.35">
      <c r="A14" s="124"/>
      <c r="B14" s="134">
        <v>4</v>
      </c>
      <c r="C14" s="135" t="s">
        <v>183</v>
      </c>
      <c r="D14" s="136" t="s">
        <v>168</v>
      </c>
      <c r="E14" s="137">
        <f>84000/6</f>
        <v>14000</v>
      </c>
      <c r="F14" s="141">
        <f>84000/6</f>
        <v>14000</v>
      </c>
      <c r="G14" s="264"/>
      <c r="H14" s="254"/>
      <c r="I14" s="125"/>
      <c r="J14" s="139">
        <f>F14*6</f>
        <v>84000</v>
      </c>
      <c r="K14" s="122"/>
      <c r="L14" s="122"/>
      <c r="M14" s="122"/>
      <c r="N14" s="122"/>
      <c r="O14" s="122"/>
      <c r="P14" s="122"/>
      <c r="Q14" s="122"/>
      <c r="R14" s="122"/>
      <c r="S14" s="122"/>
      <c r="T14" s="122"/>
      <c r="U14" s="122"/>
      <c r="V14" s="122"/>
      <c r="W14" s="122"/>
      <c r="X14" s="122"/>
      <c r="Y14" s="122"/>
      <c r="Z14" s="122"/>
      <c r="AA14" s="122"/>
      <c r="AB14" s="122"/>
      <c r="AC14" s="122"/>
      <c r="AD14" s="122"/>
      <c r="AE14" s="122"/>
    </row>
    <row r="15" spans="1:31" ht="40.25" customHeight="1" x14ac:dyDescent="0.35">
      <c r="A15" s="124"/>
      <c r="B15" s="134">
        <v>5</v>
      </c>
      <c r="C15" s="135" t="s">
        <v>184</v>
      </c>
      <c r="D15" s="136" t="s">
        <v>168</v>
      </c>
      <c r="E15" s="146">
        <f>E6/26</f>
        <v>235988.46153846153</v>
      </c>
      <c r="F15" s="147">
        <f>F6/26</f>
        <v>269230.76923076925</v>
      </c>
      <c r="G15" s="264"/>
      <c r="H15" s="254"/>
      <c r="I15" s="125"/>
      <c r="J15" s="122"/>
      <c r="K15" s="122"/>
      <c r="L15" s="122"/>
      <c r="M15" s="122"/>
      <c r="N15" s="122"/>
      <c r="O15" s="122"/>
      <c r="P15" s="122"/>
      <c r="Q15" s="122"/>
      <c r="R15" s="122"/>
      <c r="S15" s="122"/>
      <c r="T15" s="122"/>
      <c r="U15" s="122"/>
      <c r="V15" s="122"/>
      <c r="W15" s="122"/>
      <c r="X15" s="122"/>
      <c r="Y15" s="122"/>
      <c r="Z15" s="122"/>
      <c r="AA15" s="122"/>
      <c r="AB15" s="122"/>
      <c r="AC15" s="122"/>
      <c r="AD15" s="122"/>
      <c r="AE15" s="122"/>
    </row>
    <row r="16" spans="1:31" ht="40.25" customHeight="1" x14ac:dyDescent="0.35">
      <c r="A16" s="124"/>
      <c r="B16" s="134">
        <v>6</v>
      </c>
      <c r="C16" s="135" t="s">
        <v>185</v>
      </c>
      <c r="D16" s="136" t="s">
        <v>168</v>
      </c>
      <c r="E16" s="148">
        <v>0</v>
      </c>
      <c r="F16" s="148"/>
      <c r="G16" s="267" t="s">
        <v>186</v>
      </c>
      <c r="H16" s="268"/>
      <c r="I16" s="125"/>
      <c r="J16" s="122"/>
      <c r="K16" s="122"/>
      <c r="L16" s="122"/>
      <c r="M16" s="122"/>
      <c r="N16" s="122"/>
      <c r="O16" s="122"/>
      <c r="P16" s="122"/>
      <c r="Q16" s="122"/>
      <c r="R16" s="122"/>
      <c r="S16" s="122"/>
      <c r="T16" s="122"/>
      <c r="U16" s="122"/>
      <c r="V16" s="122"/>
      <c r="W16" s="122"/>
      <c r="X16" s="122"/>
      <c r="Y16" s="122"/>
      <c r="Z16" s="122"/>
      <c r="AA16" s="122"/>
      <c r="AB16" s="122"/>
      <c r="AC16" s="122"/>
      <c r="AD16" s="122"/>
      <c r="AE16" s="122"/>
    </row>
    <row r="17" spans="1:31" ht="50.25" customHeight="1" x14ac:dyDescent="0.35">
      <c r="A17" s="124"/>
      <c r="B17" s="134">
        <v>12</v>
      </c>
      <c r="C17" s="135" t="s">
        <v>187</v>
      </c>
      <c r="D17" s="136" t="s">
        <v>168</v>
      </c>
      <c r="E17" s="148">
        <v>0</v>
      </c>
      <c r="F17" s="147"/>
      <c r="G17" s="267" t="s">
        <v>188</v>
      </c>
      <c r="H17" s="268"/>
      <c r="I17" s="125"/>
      <c r="J17" s="122"/>
      <c r="K17" s="122"/>
      <c r="L17" s="122"/>
      <c r="M17" s="122"/>
      <c r="N17" s="122"/>
      <c r="O17" s="122"/>
      <c r="P17" s="122"/>
      <c r="Q17" s="122"/>
      <c r="R17" s="122"/>
      <c r="S17" s="122"/>
      <c r="T17" s="122"/>
      <c r="U17" s="122"/>
      <c r="V17" s="122"/>
      <c r="W17" s="122"/>
      <c r="X17" s="122"/>
      <c r="Y17" s="122"/>
      <c r="Z17" s="122"/>
      <c r="AA17" s="122"/>
      <c r="AB17" s="122"/>
      <c r="AC17" s="122"/>
      <c r="AD17" s="122"/>
      <c r="AE17" s="122"/>
    </row>
    <row r="18" spans="1:31" ht="40.25" customHeight="1" x14ac:dyDescent="0.35">
      <c r="A18" s="124"/>
      <c r="B18" s="134">
        <v>13</v>
      </c>
      <c r="C18" s="149" t="s">
        <v>189</v>
      </c>
      <c r="D18" s="136" t="s">
        <v>168</v>
      </c>
      <c r="E18" s="141">
        <f>400000/6</f>
        <v>66666.666666666672</v>
      </c>
      <c r="F18" s="141">
        <f>400000/6</f>
        <v>66666.666666666672</v>
      </c>
      <c r="G18" s="263"/>
      <c r="H18" s="254"/>
      <c r="I18" s="125"/>
      <c r="J18" s="139">
        <f>F18*6</f>
        <v>400000</v>
      </c>
      <c r="K18" s="122"/>
      <c r="L18" s="122"/>
      <c r="M18" s="122"/>
      <c r="N18" s="122"/>
      <c r="O18" s="122"/>
      <c r="P18" s="122"/>
      <c r="Q18" s="122"/>
      <c r="R18" s="122"/>
      <c r="S18" s="122"/>
      <c r="T18" s="122"/>
      <c r="U18" s="122"/>
      <c r="V18" s="122"/>
      <c r="W18" s="122"/>
      <c r="X18" s="122"/>
      <c r="Y18" s="122"/>
      <c r="Z18" s="122"/>
      <c r="AA18" s="122"/>
      <c r="AB18" s="122"/>
      <c r="AC18" s="122"/>
      <c r="AD18" s="122"/>
      <c r="AE18" s="122"/>
    </row>
    <row r="19" spans="1:31" ht="40.25" customHeight="1" x14ac:dyDescent="0.35">
      <c r="A19" s="124"/>
      <c r="B19" s="134">
        <v>14</v>
      </c>
      <c r="C19" s="149" t="s">
        <v>190</v>
      </c>
      <c r="D19" s="136" t="s">
        <v>168</v>
      </c>
      <c r="E19" s="141">
        <v>0</v>
      </c>
      <c r="F19" s="141">
        <v>0</v>
      </c>
      <c r="G19" s="264" t="s">
        <v>182</v>
      </c>
      <c r="H19" s="254"/>
      <c r="I19" s="125"/>
      <c r="J19" s="122"/>
      <c r="K19" s="122"/>
      <c r="L19" s="122"/>
      <c r="M19" s="122"/>
      <c r="N19" s="122"/>
      <c r="O19" s="122"/>
      <c r="P19" s="122"/>
      <c r="Q19" s="122"/>
      <c r="R19" s="122"/>
      <c r="S19" s="122"/>
      <c r="T19" s="122"/>
      <c r="U19" s="122"/>
      <c r="V19" s="122"/>
      <c r="W19" s="122"/>
      <c r="X19" s="122"/>
      <c r="Y19" s="122"/>
      <c r="Z19" s="122"/>
      <c r="AA19" s="122"/>
      <c r="AB19" s="122"/>
      <c r="AC19" s="122"/>
      <c r="AD19" s="122"/>
      <c r="AE19" s="122"/>
    </row>
    <row r="20" spans="1:31" ht="40.25" customHeight="1" x14ac:dyDescent="0.35">
      <c r="A20" s="124"/>
      <c r="B20" s="134">
        <v>15</v>
      </c>
      <c r="C20" s="149" t="s">
        <v>191</v>
      </c>
      <c r="D20" s="136" t="s">
        <v>168</v>
      </c>
      <c r="E20" s="147">
        <f>70000*2/6</f>
        <v>23333.333333333332</v>
      </c>
      <c r="F20" s="147">
        <f>70000*2/6</f>
        <v>23333.333333333332</v>
      </c>
      <c r="G20" s="265" t="s">
        <v>192</v>
      </c>
      <c r="H20" s="254"/>
      <c r="I20" s="125"/>
      <c r="J20" s="122"/>
      <c r="K20" s="122"/>
      <c r="L20" s="122"/>
      <c r="M20" s="122"/>
      <c r="N20" s="122"/>
      <c r="O20" s="122"/>
      <c r="P20" s="122"/>
      <c r="Q20" s="122"/>
      <c r="R20" s="122"/>
      <c r="S20" s="122"/>
      <c r="T20" s="122"/>
      <c r="U20" s="122"/>
      <c r="V20" s="122"/>
      <c r="W20" s="122"/>
      <c r="X20" s="122"/>
      <c r="Y20" s="122"/>
      <c r="Z20" s="122"/>
      <c r="AA20" s="122"/>
      <c r="AB20" s="122"/>
      <c r="AC20" s="122"/>
      <c r="AD20" s="122"/>
      <c r="AE20" s="122"/>
    </row>
    <row r="21" spans="1:31" ht="40.25" customHeight="1" x14ac:dyDescent="0.35">
      <c r="A21" s="124"/>
      <c r="B21" s="134">
        <v>16</v>
      </c>
      <c r="C21" s="149" t="s">
        <v>193</v>
      </c>
      <c r="D21" s="136" t="s">
        <v>168</v>
      </c>
      <c r="E21" s="147">
        <v>0</v>
      </c>
      <c r="F21" s="147">
        <v>0</v>
      </c>
      <c r="G21" s="265" t="s">
        <v>182</v>
      </c>
      <c r="H21" s="254"/>
      <c r="I21" s="125"/>
      <c r="J21" s="122"/>
      <c r="K21" s="122"/>
      <c r="L21" s="122"/>
      <c r="M21" s="122"/>
      <c r="N21" s="122"/>
      <c r="O21" s="122"/>
      <c r="P21" s="122"/>
      <c r="Q21" s="122"/>
      <c r="R21" s="122"/>
      <c r="S21" s="122"/>
      <c r="T21" s="122"/>
      <c r="U21" s="122"/>
      <c r="V21" s="122"/>
      <c r="W21" s="122"/>
      <c r="X21" s="122"/>
      <c r="Y21" s="122"/>
      <c r="Z21" s="122"/>
      <c r="AA21" s="122"/>
      <c r="AB21" s="122"/>
      <c r="AC21" s="122"/>
      <c r="AD21" s="122"/>
      <c r="AE21" s="122"/>
    </row>
    <row r="22" spans="1:31" ht="50" customHeight="1" x14ac:dyDescent="0.35">
      <c r="A22" s="124"/>
      <c r="B22" s="142" t="s">
        <v>194</v>
      </c>
      <c r="C22" s="142" t="s">
        <v>195</v>
      </c>
      <c r="D22" s="142" t="s">
        <v>168</v>
      </c>
      <c r="E22" s="143">
        <f>SUM(E11:E21)</f>
        <v>1781877.9615384615</v>
      </c>
      <c r="F22" s="143">
        <f>SUM(F11:F21)</f>
        <v>2135730.7692307695</v>
      </c>
      <c r="G22" s="257"/>
      <c r="H22" s="258"/>
      <c r="I22" s="125"/>
      <c r="J22" s="122"/>
      <c r="K22" s="122"/>
      <c r="L22" s="122"/>
      <c r="M22" s="122"/>
      <c r="N22" s="122"/>
      <c r="O22" s="122"/>
      <c r="P22" s="122"/>
      <c r="Q22" s="122"/>
      <c r="R22" s="122"/>
      <c r="S22" s="122"/>
      <c r="T22" s="122"/>
      <c r="U22" s="122"/>
      <c r="V22" s="122"/>
      <c r="W22" s="122"/>
      <c r="X22" s="122"/>
      <c r="Y22" s="122"/>
      <c r="Z22" s="122"/>
      <c r="AA22" s="122"/>
      <c r="AB22" s="122"/>
      <c r="AC22" s="122"/>
      <c r="AD22" s="122"/>
      <c r="AE22" s="122"/>
    </row>
    <row r="23" spans="1:31" ht="40.25" customHeight="1" x14ac:dyDescent="0.35">
      <c r="A23" s="124"/>
      <c r="B23" s="150">
        <v>17</v>
      </c>
      <c r="C23" s="135" t="s">
        <v>196</v>
      </c>
      <c r="D23" s="136" t="s">
        <v>168</v>
      </c>
      <c r="E23" s="141">
        <v>0</v>
      </c>
      <c r="F23" s="141">
        <v>0</v>
      </c>
      <c r="G23" s="253"/>
      <c r="H23" s="254"/>
      <c r="I23" s="125"/>
      <c r="J23" s="122"/>
      <c r="K23" s="122"/>
      <c r="L23" s="122"/>
      <c r="M23" s="122"/>
      <c r="N23" s="122"/>
      <c r="O23" s="122"/>
      <c r="P23" s="122"/>
      <c r="Q23" s="122"/>
      <c r="R23" s="122"/>
      <c r="S23" s="122"/>
      <c r="T23" s="122"/>
      <c r="U23" s="122"/>
      <c r="V23" s="122"/>
      <c r="W23" s="122"/>
      <c r="X23" s="122"/>
      <c r="Y23" s="122"/>
      <c r="Z23" s="122"/>
      <c r="AA23" s="122"/>
      <c r="AB23" s="122"/>
      <c r="AC23" s="122"/>
      <c r="AD23" s="122"/>
      <c r="AE23" s="122"/>
    </row>
    <row r="24" spans="1:31" ht="40.25" customHeight="1" x14ac:dyDescent="0.35">
      <c r="A24" s="124"/>
      <c r="B24" s="151">
        <v>18</v>
      </c>
      <c r="C24" s="152" t="s">
        <v>197</v>
      </c>
      <c r="D24" s="153" t="s">
        <v>168</v>
      </c>
      <c r="E24" s="154">
        <f>SUM(E22,E10)*12%</f>
        <v>1016109.3553846154</v>
      </c>
      <c r="F24" s="154">
        <f>SUM(F22,F10)*12%</f>
        <v>1222287.6923076923</v>
      </c>
      <c r="G24" s="255"/>
      <c r="H24" s="256"/>
      <c r="I24" s="125"/>
      <c r="J24" s="155"/>
      <c r="K24" s="122"/>
      <c r="L24" s="122"/>
      <c r="M24" s="122"/>
      <c r="N24" s="122"/>
      <c r="O24" s="122"/>
      <c r="P24" s="122"/>
      <c r="Q24" s="122"/>
      <c r="R24" s="122"/>
      <c r="S24" s="122"/>
      <c r="T24" s="122"/>
      <c r="U24" s="122"/>
      <c r="V24" s="122"/>
      <c r="W24" s="122"/>
      <c r="X24" s="122"/>
      <c r="Y24" s="122"/>
      <c r="Z24" s="122"/>
      <c r="AA24" s="122"/>
      <c r="AB24" s="122"/>
      <c r="AC24" s="122"/>
      <c r="AD24" s="122"/>
      <c r="AE24" s="122"/>
    </row>
    <row r="25" spans="1:31" ht="50" customHeight="1" x14ac:dyDescent="0.35">
      <c r="A25" s="124"/>
      <c r="B25" s="142" t="s">
        <v>198</v>
      </c>
      <c r="C25" s="142" t="s">
        <v>158</v>
      </c>
      <c r="D25" s="142" t="s">
        <v>168</v>
      </c>
      <c r="E25" s="156">
        <f>SUM(E23:E24)</f>
        <v>1016109.3553846154</v>
      </c>
      <c r="F25" s="143">
        <f>SUM(F23:F24)</f>
        <v>1222287.6923076923</v>
      </c>
      <c r="G25" s="257"/>
      <c r="H25" s="258"/>
      <c r="I25" s="125"/>
      <c r="J25" s="155"/>
      <c r="K25" s="122"/>
      <c r="L25" s="122"/>
      <c r="M25" s="122"/>
      <c r="N25" s="122"/>
      <c r="O25" s="122"/>
      <c r="P25" s="122"/>
      <c r="Q25" s="122"/>
      <c r="R25" s="122"/>
      <c r="S25" s="122"/>
      <c r="T25" s="122"/>
      <c r="U25" s="122"/>
      <c r="V25" s="122"/>
      <c r="W25" s="122"/>
      <c r="X25" s="122"/>
      <c r="Y25" s="122"/>
      <c r="Z25" s="122"/>
      <c r="AA25" s="122"/>
      <c r="AB25" s="122"/>
      <c r="AC25" s="122"/>
      <c r="AD25" s="122"/>
      <c r="AE25" s="122"/>
    </row>
    <row r="26" spans="1:31" ht="50" customHeight="1" x14ac:dyDescent="0.35">
      <c r="A26" s="124"/>
      <c r="B26" s="259" t="s">
        <v>199</v>
      </c>
      <c r="C26" s="260"/>
      <c r="D26" s="157" t="s">
        <v>200</v>
      </c>
      <c r="E26" s="158">
        <f>SUM(E25,E22,E10)</f>
        <v>9483687.3169230763</v>
      </c>
      <c r="F26" s="159">
        <f>SUM(F25,F22,F10)</f>
        <v>11408018.461538462</v>
      </c>
      <c r="G26" s="261" t="s">
        <v>201</v>
      </c>
      <c r="H26" s="262"/>
      <c r="I26" s="125"/>
      <c r="J26" s="160"/>
      <c r="K26" s="139"/>
      <c r="L26" s="122"/>
      <c r="M26" s="122"/>
      <c r="N26" s="122"/>
      <c r="O26" s="122"/>
      <c r="P26" s="122"/>
      <c r="Q26" s="122"/>
      <c r="R26" s="122"/>
      <c r="S26" s="122"/>
      <c r="T26" s="122"/>
      <c r="U26" s="122"/>
      <c r="V26" s="122"/>
      <c r="W26" s="122"/>
      <c r="X26" s="122"/>
      <c r="Y26" s="122"/>
      <c r="Z26" s="122"/>
      <c r="AA26" s="122"/>
      <c r="AB26" s="122"/>
      <c r="AC26" s="122"/>
      <c r="AD26" s="122"/>
      <c r="AE26" s="122"/>
    </row>
    <row r="27" spans="1:31" ht="40.25" customHeight="1" x14ac:dyDescent="0.35">
      <c r="A27" s="124"/>
      <c r="B27" s="250" t="s">
        <v>202</v>
      </c>
      <c r="C27" s="250"/>
      <c r="D27" s="161" t="s">
        <v>203</v>
      </c>
      <c r="E27" s="162">
        <f>(E$6/26/8+E$9/208)*30%*1.12</f>
        <v>9911.5153846153844</v>
      </c>
      <c r="F27" s="162">
        <f>(F$6/26/8+F$9/208)*30%*1.12</f>
        <v>12115.384615384617</v>
      </c>
      <c r="G27" s="251" t="s">
        <v>204</v>
      </c>
      <c r="H27" s="252"/>
      <c r="I27" s="125"/>
      <c r="J27" s="160"/>
      <c r="K27" s="139"/>
      <c r="L27" s="122"/>
      <c r="M27" s="122"/>
      <c r="N27" s="122"/>
      <c r="O27" s="122"/>
      <c r="P27" s="122"/>
      <c r="Q27" s="122"/>
      <c r="R27" s="122"/>
      <c r="S27" s="122"/>
      <c r="T27" s="122"/>
      <c r="U27" s="122"/>
      <c r="V27" s="122"/>
      <c r="W27" s="122"/>
      <c r="X27" s="122"/>
      <c r="Y27" s="122"/>
      <c r="Z27" s="122"/>
      <c r="AA27" s="122"/>
      <c r="AB27" s="122"/>
      <c r="AC27" s="122"/>
      <c r="AD27" s="122"/>
      <c r="AE27" s="122"/>
    </row>
    <row r="28" spans="1:31" ht="40.25" customHeight="1" x14ac:dyDescent="0.35">
      <c r="A28" s="124"/>
      <c r="B28" s="250" t="s">
        <v>205</v>
      </c>
      <c r="C28" s="250"/>
      <c r="D28" s="161" t="s">
        <v>203</v>
      </c>
      <c r="E28" s="162">
        <f>(E$6/26/8+E$9/208)*150%*1.12</f>
        <v>49557.576923076929</v>
      </c>
      <c r="F28" s="162">
        <f>(F$6/26/8+F$9/208)*150%*1.12</f>
        <v>60576.923076923093</v>
      </c>
      <c r="G28" s="251"/>
      <c r="H28" s="252"/>
      <c r="I28" s="125"/>
      <c r="J28" s="122"/>
      <c r="K28" s="122"/>
      <c r="L28" s="163"/>
      <c r="M28" s="122"/>
      <c r="N28" s="122"/>
      <c r="O28" s="122"/>
      <c r="P28" s="122"/>
      <c r="Q28" s="122"/>
      <c r="R28" s="122"/>
      <c r="S28" s="122"/>
      <c r="T28" s="122"/>
      <c r="U28" s="122"/>
      <c r="V28" s="122"/>
      <c r="W28" s="122"/>
      <c r="X28" s="122"/>
      <c r="Y28" s="122"/>
      <c r="Z28" s="122"/>
      <c r="AA28" s="122"/>
      <c r="AB28" s="122"/>
      <c r="AC28" s="122"/>
      <c r="AD28" s="122"/>
      <c r="AE28" s="122"/>
    </row>
    <row r="29" spans="1:31" ht="40.25" customHeight="1" x14ac:dyDescent="0.35">
      <c r="A29" s="124"/>
      <c r="B29" s="250" t="s">
        <v>206</v>
      </c>
      <c r="C29" s="250"/>
      <c r="D29" s="161" t="s">
        <v>203</v>
      </c>
      <c r="E29" s="162">
        <f>(E$6/26/8+E9/208)*210%*1.12</f>
        <v>69380.607692307705</v>
      </c>
      <c r="F29" s="162">
        <f>(F$6/26/8+F9/208)*210%*1.12</f>
        <v>84807.692307692327</v>
      </c>
      <c r="G29" s="251"/>
      <c r="H29" s="252"/>
      <c r="I29" s="125"/>
      <c r="J29" s="122"/>
      <c r="K29" s="122"/>
      <c r="L29" s="122"/>
      <c r="M29" s="122"/>
      <c r="N29" s="122"/>
      <c r="O29" s="122"/>
      <c r="P29" s="122"/>
      <c r="Q29" s="122"/>
      <c r="R29" s="122"/>
      <c r="S29" s="122"/>
      <c r="T29" s="122"/>
      <c r="U29" s="122"/>
      <c r="V29" s="122"/>
      <c r="W29" s="122"/>
      <c r="X29" s="122"/>
      <c r="Y29" s="122"/>
      <c r="Z29" s="122"/>
      <c r="AA29" s="122"/>
      <c r="AB29" s="122"/>
      <c r="AC29" s="122"/>
      <c r="AD29" s="122"/>
      <c r="AE29" s="122"/>
    </row>
    <row r="30" spans="1:31" ht="40.25" customHeight="1" x14ac:dyDescent="0.35">
      <c r="A30" s="124"/>
      <c r="B30" s="250" t="s">
        <v>207</v>
      </c>
      <c r="C30" s="250"/>
      <c r="D30" s="161" t="s">
        <v>203</v>
      </c>
      <c r="E30" s="162">
        <f>(E$6/26/8+E$9)*200%*1.12</f>
        <v>66076.769230769234</v>
      </c>
      <c r="F30" s="162">
        <f>(F$6/26/8+F$9/208)*200%*1.12</f>
        <v>80769.23076923078</v>
      </c>
      <c r="G30" s="251"/>
      <c r="H30" s="252"/>
      <c r="I30" s="125"/>
      <c r="J30" s="122"/>
      <c r="K30" s="122"/>
      <c r="L30" s="122"/>
      <c r="M30" s="122"/>
      <c r="N30" s="122"/>
      <c r="O30" s="122"/>
      <c r="P30" s="122"/>
      <c r="Q30" s="122"/>
      <c r="R30" s="122"/>
      <c r="S30" s="122"/>
      <c r="T30" s="122"/>
      <c r="U30" s="122"/>
      <c r="V30" s="122"/>
      <c r="W30" s="122"/>
      <c r="X30" s="122"/>
      <c r="Y30" s="122"/>
      <c r="Z30" s="122"/>
      <c r="AA30" s="122"/>
      <c r="AB30" s="122"/>
      <c r="AC30" s="122"/>
      <c r="AD30" s="122"/>
      <c r="AE30" s="122"/>
    </row>
    <row r="31" spans="1:31" ht="40.25" customHeight="1" x14ac:dyDescent="0.35">
      <c r="A31" s="124"/>
      <c r="B31" s="250" t="s">
        <v>208</v>
      </c>
      <c r="C31" s="250"/>
      <c r="D31" s="161" t="s">
        <v>203</v>
      </c>
      <c r="E31" s="162">
        <f>(E$6/26/8+E$9/208)*270%*1.12</f>
        <v>89203.63846153846</v>
      </c>
      <c r="F31" s="162">
        <f>(F$6/26/8+F$9/208)*270%*1.12</f>
        <v>109038.46153846158</v>
      </c>
      <c r="G31" s="251"/>
      <c r="H31" s="252"/>
      <c r="I31" s="125"/>
      <c r="J31" s="122"/>
      <c r="K31" s="122"/>
      <c r="L31" s="122"/>
      <c r="M31" s="122"/>
      <c r="N31" s="122"/>
      <c r="O31" s="122"/>
      <c r="P31" s="122"/>
      <c r="Q31" s="122"/>
      <c r="R31" s="122"/>
      <c r="S31" s="122"/>
      <c r="T31" s="122"/>
      <c r="U31" s="122"/>
      <c r="V31" s="122"/>
      <c r="W31" s="122"/>
      <c r="X31" s="122"/>
      <c r="Y31" s="122"/>
      <c r="Z31" s="122"/>
      <c r="AA31" s="122"/>
      <c r="AB31" s="122"/>
      <c r="AC31" s="122"/>
      <c r="AD31" s="122"/>
      <c r="AE31" s="122"/>
    </row>
    <row r="32" spans="1:31" ht="40.25" customHeight="1" x14ac:dyDescent="0.35">
      <c r="A32" s="124"/>
      <c r="B32" s="250" t="s">
        <v>209</v>
      </c>
      <c r="C32" s="250"/>
      <c r="D32" s="161" t="s">
        <v>203</v>
      </c>
      <c r="E32" s="162">
        <f>(E$6/26/8+E$9/208)*300%*1.12</f>
        <v>99115.153846153858</v>
      </c>
      <c r="F32" s="162">
        <f>(F$6/26/8+F$9/208)*300%*1.12</f>
        <v>121153.84615384619</v>
      </c>
      <c r="G32" s="251"/>
      <c r="H32" s="252"/>
      <c r="I32" s="125"/>
      <c r="J32" s="122"/>
      <c r="K32" s="122"/>
      <c r="L32" s="122"/>
      <c r="M32" s="122"/>
      <c r="N32" s="122"/>
      <c r="O32" s="122"/>
      <c r="P32" s="122"/>
      <c r="Q32" s="122"/>
      <c r="R32" s="122"/>
      <c r="S32" s="122"/>
      <c r="T32" s="122"/>
      <c r="U32" s="122"/>
      <c r="V32" s="122"/>
      <c r="W32" s="122"/>
      <c r="X32" s="122"/>
      <c r="Y32" s="122"/>
      <c r="Z32" s="122"/>
      <c r="AA32" s="122"/>
      <c r="AB32" s="122"/>
      <c r="AC32" s="122"/>
      <c r="AD32" s="122"/>
      <c r="AE32" s="122"/>
    </row>
    <row r="33" spans="1:31" ht="40.25" customHeight="1" x14ac:dyDescent="0.35">
      <c r="A33" s="124"/>
      <c r="B33" s="250" t="s">
        <v>210</v>
      </c>
      <c r="C33" s="250"/>
      <c r="D33" s="161" t="s">
        <v>203</v>
      </c>
      <c r="E33" s="162">
        <f>(E$6/26/8+E$9/208)*390%*1.12</f>
        <v>128849.70000000001</v>
      </c>
      <c r="F33" s="162">
        <f>(F$6/26/8+F$9/208)*390%*1.12</f>
        <v>157500.00000000003</v>
      </c>
      <c r="G33" s="251"/>
      <c r="H33" s="252"/>
      <c r="I33" s="125"/>
      <c r="J33" s="122"/>
      <c r="K33" s="122"/>
      <c r="L33" s="122"/>
      <c r="M33" s="122"/>
      <c r="N33" s="122"/>
      <c r="O33" s="122"/>
      <c r="P33" s="122"/>
      <c r="Q33" s="122"/>
      <c r="R33" s="122"/>
      <c r="S33" s="122"/>
      <c r="T33" s="122"/>
      <c r="U33" s="122"/>
      <c r="V33" s="122"/>
      <c r="W33" s="122"/>
      <c r="X33" s="122"/>
      <c r="Y33" s="122"/>
      <c r="Z33" s="122"/>
      <c r="AA33" s="122"/>
      <c r="AB33" s="122"/>
      <c r="AC33" s="122"/>
      <c r="AD33" s="122"/>
      <c r="AE33" s="122"/>
    </row>
    <row r="34" spans="1:31" ht="15.75" customHeight="1" x14ac:dyDescent="0.35">
      <c r="A34" s="124"/>
      <c r="B34" s="164"/>
      <c r="C34" s="165"/>
      <c r="D34" s="166"/>
      <c r="E34" s="166"/>
      <c r="F34" s="166"/>
      <c r="G34" s="166"/>
      <c r="H34" s="166"/>
      <c r="I34" s="125"/>
      <c r="J34" s="122"/>
      <c r="K34" s="122"/>
      <c r="L34" s="122"/>
      <c r="M34" s="122"/>
      <c r="N34" s="122"/>
      <c r="O34" s="122"/>
      <c r="P34" s="122"/>
      <c r="Q34" s="122"/>
      <c r="R34" s="122"/>
      <c r="S34" s="122"/>
      <c r="T34" s="122"/>
      <c r="U34" s="122"/>
      <c r="V34" s="122"/>
      <c r="W34" s="122"/>
      <c r="X34" s="122"/>
      <c r="Y34" s="122"/>
      <c r="Z34" s="122"/>
      <c r="AA34" s="122"/>
      <c r="AB34" s="122"/>
      <c r="AC34" s="122"/>
      <c r="AD34" s="122"/>
      <c r="AE34" s="122"/>
    </row>
    <row r="35" spans="1:31" ht="15.75" customHeight="1" thickBot="1" x14ac:dyDescent="0.4">
      <c r="A35" s="167"/>
      <c r="B35" s="168"/>
      <c r="C35" s="168"/>
      <c r="D35" s="169"/>
      <c r="E35" s="170"/>
      <c r="F35" s="169"/>
      <c r="G35" s="169"/>
      <c r="H35" s="169"/>
      <c r="I35" s="171"/>
      <c r="J35" s="122"/>
      <c r="K35" s="122"/>
      <c r="L35" s="122"/>
      <c r="M35" s="122"/>
      <c r="N35" s="122"/>
      <c r="O35" s="122"/>
      <c r="P35" s="122"/>
      <c r="Q35" s="122"/>
      <c r="R35" s="122"/>
      <c r="S35" s="122"/>
      <c r="T35" s="122"/>
      <c r="U35" s="122"/>
      <c r="V35" s="122"/>
      <c r="W35" s="122"/>
      <c r="X35" s="122"/>
      <c r="Y35" s="122"/>
      <c r="Z35" s="122"/>
      <c r="AA35" s="122"/>
      <c r="AB35" s="122"/>
      <c r="AC35" s="122"/>
      <c r="AD35" s="122"/>
      <c r="AE35" s="122"/>
    </row>
    <row r="36" spans="1:31" ht="15.75" customHeight="1" thickTop="1" x14ac:dyDescent="0.35">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row>
    <row r="37" spans="1:31" ht="15.75" customHeight="1" x14ac:dyDescent="0.35">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row>
    <row r="38" spans="1:31" ht="15.75" customHeight="1" x14ac:dyDescent="0.35">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row>
    <row r="39" spans="1:31" ht="15.75" customHeight="1" x14ac:dyDescent="0.35">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row>
    <row r="40" spans="1:31" ht="15.75" customHeight="1" x14ac:dyDescent="0.35">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row>
    <row r="41" spans="1:31" ht="15.75" customHeight="1" x14ac:dyDescent="0.35">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row>
    <row r="42" spans="1:31" ht="15.75" customHeight="1" x14ac:dyDescent="0.35">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row>
    <row r="43" spans="1:31" ht="15.75" customHeight="1" x14ac:dyDescent="0.35">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row>
    <row r="44" spans="1:31" ht="15.75" customHeight="1" x14ac:dyDescent="0.35">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row>
    <row r="45" spans="1:31" ht="15.75" customHeight="1" x14ac:dyDescent="0.3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row>
    <row r="46" spans="1:31" ht="15.75" customHeight="1" x14ac:dyDescent="0.35">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row>
    <row r="47" spans="1:31" ht="15.75" customHeight="1" x14ac:dyDescent="0.35">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row>
    <row r="48" spans="1:31" ht="15.75" customHeight="1" x14ac:dyDescent="0.35">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row>
    <row r="49" spans="1:31" ht="15.75" customHeight="1" x14ac:dyDescent="0.35">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row>
    <row r="50" spans="1:31" ht="15.75" customHeight="1" x14ac:dyDescent="0.35">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row>
    <row r="51" spans="1:31" ht="15.75" customHeight="1" x14ac:dyDescent="0.35">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row>
    <row r="52" spans="1:31" ht="15.75" customHeight="1" x14ac:dyDescent="0.35">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row>
    <row r="53" spans="1:31" ht="15.75" customHeight="1" x14ac:dyDescent="0.35">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row>
    <row r="54" spans="1:31" ht="15.75" customHeight="1" x14ac:dyDescent="0.35">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row>
    <row r="55" spans="1:31" ht="15.75" customHeight="1" x14ac:dyDescent="0.3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row>
    <row r="56" spans="1:31" ht="15.75" customHeight="1" x14ac:dyDescent="0.35">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row>
    <row r="57" spans="1:31" ht="15.75" customHeight="1" x14ac:dyDescent="0.35">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row>
    <row r="58" spans="1:31" ht="15.75" customHeight="1" x14ac:dyDescent="0.35">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row>
    <row r="59" spans="1:31" ht="15.75" customHeight="1" x14ac:dyDescent="0.35">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row>
    <row r="60" spans="1:31" ht="15.75" customHeight="1" x14ac:dyDescent="0.35">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row>
    <row r="61" spans="1:31" ht="15.75" customHeight="1" x14ac:dyDescent="0.35">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row>
    <row r="62" spans="1:31" ht="15.75" customHeight="1" x14ac:dyDescent="0.35">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row>
    <row r="63" spans="1:31" ht="15.75" customHeight="1" x14ac:dyDescent="0.35">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row>
    <row r="64" spans="1:31" ht="15.75" customHeight="1" x14ac:dyDescent="0.35">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row>
    <row r="65" spans="1:31" ht="15.75" customHeight="1" x14ac:dyDescent="0.3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row>
    <row r="66" spans="1:31" ht="15.75" customHeight="1" x14ac:dyDescent="0.35">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row>
    <row r="67" spans="1:31" ht="15.75" customHeight="1" x14ac:dyDescent="0.35">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row>
    <row r="68" spans="1:31" ht="15.75" customHeight="1" x14ac:dyDescent="0.35">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row>
    <row r="69" spans="1:31" ht="15.75" customHeight="1" x14ac:dyDescent="0.35">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row>
    <row r="70" spans="1:31" ht="15.75" customHeight="1" x14ac:dyDescent="0.35">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row>
    <row r="71" spans="1:31" ht="15.75" customHeight="1" x14ac:dyDescent="0.35">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row>
    <row r="72" spans="1:31" ht="15.75" customHeight="1" x14ac:dyDescent="0.3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row>
    <row r="73" spans="1:31" ht="15.75" customHeight="1" x14ac:dyDescent="0.3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row>
    <row r="74" spans="1:31" ht="15.75" customHeight="1" x14ac:dyDescent="0.3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row>
    <row r="75" spans="1:31" ht="15.75" customHeight="1" x14ac:dyDescent="0.3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row>
    <row r="76" spans="1:31" ht="15.75" customHeight="1" x14ac:dyDescent="0.35">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row>
    <row r="77" spans="1:31" ht="15.75" customHeight="1" x14ac:dyDescent="0.3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row>
    <row r="78" spans="1:31" ht="15.75" customHeight="1" x14ac:dyDescent="0.3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row>
    <row r="79" spans="1:31" ht="15.75" customHeight="1" x14ac:dyDescent="0.3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row>
    <row r="80" spans="1:31" ht="15.75" customHeight="1" x14ac:dyDescent="0.3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row>
    <row r="81" spans="1:31" ht="15.75" customHeight="1" x14ac:dyDescent="0.3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row>
    <row r="82" spans="1:31" ht="15.75" customHeight="1" x14ac:dyDescent="0.3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row>
    <row r="83" spans="1:31" ht="15.75" customHeight="1" x14ac:dyDescent="0.3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row>
    <row r="84" spans="1:31" ht="15.75" customHeight="1" x14ac:dyDescent="0.3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row>
    <row r="85" spans="1:31" ht="15.75" customHeight="1" x14ac:dyDescent="0.3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row>
    <row r="86" spans="1:31" ht="15.75" customHeight="1" x14ac:dyDescent="0.3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row>
    <row r="87" spans="1:31" ht="15.75" customHeight="1" x14ac:dyDescent="0.3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row>
    <row r="88" spans="1:31" ht="15.75" customHeight="1" x14ac:dyDescent="0.3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row>
    <row r="89" spans="1:31" ht="15.75" customHeight="1" x14ac:dyDescent="0.35">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row>
    <row r="90" spans="1:31" ht="15.75" customHeight="1" x14ac:dyDescent="0.35">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row>
    <row r="91" spans="1:31" ht="15.75" customHeight="1" x14ac:dyDescent="0.3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row>
    <row r="92" spans="1:31" ht="15.75" customHeight="1" x14ac:dyDescent="0.3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row>
    <row r="93" spans="1:31" ht="15.75" customHeight="1" x14ac:dyDescent="0.3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row>
    <row r="94" spans="1:31" ht="15.75" customHeight="1" x14ac:dyDescent="0.3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row>
    <row r="95" spans="1:31" ht="15.75" customHeight="1" x14ac:dyDescent="0.3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row>
    <row r="96" spans="1:31" ht="15.75" customHeight="1" x14ac:dyDescent="0.3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row>
    <row r="97" spans="1:31" ht="15.75" customHeight="1" x14ac:dyDescent="0.3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row>
    <row r="98" spans="1:31" ht="15.75" customHeight="1" x14ac:dyDescent="0.3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row>
    <row r="99" spans="1:31" ht="15.75" customHeight="1" x14ac:dyDescent="0.3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row>
    <row r="100" spans="1:31" ht="15.75" customHeight="1" x14ac:dyDescent="0.3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row>
    <row r="101" spans="1:31" ht="15.75" customHeight="1" x14ac:dyDescent="0.3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row>
    <row r="102" spans="1:31" ht="15.75" customHeight="1" x14ac:dyDescent="0.3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row>
    <row r="103" spans="1:31" ht="15.75" customHeight="1" x14ac:dyDescent="0.3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row>
    <row r="104" spans="1:31" ht="15.75" customHeight="1" x14ac:dyDescent="0.3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row>
    <row r="105" spans="1:31" ht="15.75" customHeight="1" x14ac:dyDescent="0.3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row>
    <row r="106" spans="1:31" ht="15.75" customHeight="1" x14ac:dyDescent="0.3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row>
    <row r="107" spans="1:31" ht="15.75" customHeight="1" x14ac:dyDescent="0.3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row>
    <row r="108" spans="1:31" ht="15.75" customHeight="1" x14ac:dyDescent="0.3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row>
    <row r="109" spans="1:31" ht="15.75" customHeight="1" x14ac:dyDescent="0.3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row>
    <row r="110" spans="1:31" ht="15.75" customHeight="1" x14ac:dyDescent="0.3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row>
    <row r="111" spans="1:31" ht="15.75" customHeight="1" x14ac:dyDescent="0.3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row>
    <row r="112" spans="1:31" ht="15.75" customHeight="1" x14ac:dyDescent="0.3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row>
    <row r="113" spans="1:31" ht="15.75" customHeight="1" x14ac:dyDescent="0.3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row>
    <row r="114" spans="1:31" ht="15.75" customHeight="1" x14ac:dyDescent="0.3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row>
    <row r="115" spans="1:31" ht="15.75" customHeight="1" x14ac:dyDescent="0.3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row>
    <row r="116" spans="1:31" ht="15.75" customHeight="1" x14ac:dyDescent="0.3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row>
    <row r="117" spans="1:31" ht="15.75" customHeight="1" x14ac:dyDescent="0.3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row>
    <row r="118" spans="1:31" ht="15.75" customHeight="1" x14ac:dyDescent="0.3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row>
    <row r="119" spans="1:31" ht="15.75" customHeight="1" x14ac:dyDescent="0.3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row>
    <row r="120" spans="1:31" ht="15.75" customHeight="1" x14ac:dyDescent="0.35">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row>
    <row r="121" spans="1:31" ht="15.75" customHeight="1" x14ac:dyDescent="0.35">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row>
    <row r="122" spans="1:31" ht="15.75" customHeight="1" x14ac:dyDescent="0.35">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row>
    <row r="123" spans="1:31" ht="15.75" customHeight="1" x14ac:dyDescent="0.35">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row>
    <row r="124" spans="1:31" ht="15.75" customHeight="1" x14ac:dyDescent="0.35">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row>
    <row r="125" spans="1:31" ht="15.75" customHeight="1" x14ac:dyDescent="0.3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row>
    <row r="126" spans="1:31" ht="15.75" customHeight="1" x14ac:dyDescent="0.35">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row>
    <row r="127" spans="1:31" ht="15.75" customHeight="1" x14ac:dyDescent="0.35">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row>
    <row r="128" spans="1:31" ht="15.75" customHeight="1" x14ac:dyDescent="0.35">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row>
    <row r="129" spans="1:31" ht="15.75" customHeight="1" x14ac:dyDescent="0.35">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row>
    <row r="130" spans="1:31" ht="15.75" customHeight="1" x14ac:dyDescent="0.35">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row>
    <row r="131" spans="1:31" ht="15.75" customHeight="1" x14ac:dyDescent="0.35">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row>
    <row r="132" spans="1:31" ht="15.75" customHeight="1" x14ac:dyDescent="0.35">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row>
    <row r="133" spans="1:31" ht="15.75" customHeight="1" x14ac:dyDescent="0.35">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row>
    <row r="134" spans="1:31" ht="15.75" customHeight="1" x14ac:dyDescent="0.35">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row>
    <row r="135" spans="1:31" ht="15.75" customHeight="1" x14ac:dyDescent="0.3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row>
    <row r="136" spans="1:31" ht="15.75" customHeight="1" x14ac:dyDescent="0.35">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row>
    <row r="137" spans="1:31" ht="15.75" customHeight="1" x14ac:dyDescent="0.35">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row>
    <row r="138" spans="1:31" ht="15.75" customHeight="1" x14ac:dyDescent="0.35">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row>
    <row r="139" spans="1:31" ht="15.75" customHeight="1" x14ac:dyDescent="0.35">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row>
    <row r="140" spans="1:31" ht="15.75" customHeight="1" x14ac:dyDescent="0.35">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row>
    <row r="141" spans="1:31" ht="15.75" customHeight="1" x14ac:dyDescent="0.35">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row>
    <row r="142" spans="1:31" ht="15.75" customHeight="1" x14ac:dyDescent="0.35">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row>
    <row r="143" spans="1:31" ht="15.75" customHeight="1" x14ac:dyDescent="0.35">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row>
    <row r="144" spans="1:31" ht="15.75" customHeight="1" x14ac:dyDescent="0.35">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row>
    <row r="145" spans="1:31" ht="15.75" customHeight="1" x14ac:dyDescent="0.3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row>
    <row r="146" spans="1:31" ht="15.75" customHeight="1" x14ac:dyDescent="0.35">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row>
    <row r="147" spans="1:31" ht="15.75" customHeight="1" x14ac:dyDescent="0.35">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row>
    <row r="148" spans="1:31" ht="15.75" customHeight="1" x14ac:dyDescent="0.35">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row>
    <row r="149" spans="1:31" ht="15.75" customHeight="1" x14ac:dyDescent="0.35">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row>
    <row r="150" spans="1:31" ht="15.75" customHeight="1" x14ac:dyDescent="0.35">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row>
    <row r="151" spans="1:31" ht="15.75" customHeight="1" x14ac:dyDescent="0.35">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row>
    <row r="152" spans="1:31" ht="15.75" customHeight="1" x14ac:dyDescent="0.35">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row>
    <row r="153" spans="1:31" ht="15.75" customHeight="1" x14ac:dyDescent="0.35">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row>
    <row r="154" spans="1:31" ht="15.75" customHeight="1" x14ac:dyDescent="0.35">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row>
    <row r="155" spans="1:31" ht="15.75" customHeight="1" x14ac:dyDescent="0.3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row>
    <row r="156" spans="1:31" ht="15.75" customHeight="1" x14ac:dyDescent="0.35">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row>
    <row r="157" spans="1:31" ht="15.75" customHeight="1" x14ac:dyDescent="0.35">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row>
    <row r="158" spans="1:31" ht="15.75" customHeight="1" x14ac:dyDescent="0.35">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row>
    <row r="159" spans="1:31" ht="15.75" customHeight="1" x14ac:dyDescent="0.35">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row>
    <row r="160" spans="1:31" ht="15.75" customHeight="1" x14ac:dyDescent="0.35">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row>
    <row r="161" spans="1:31" ht="15.75" customHeight="1" x14ac:dyDescent="0.35">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row>
    <row r="162" spans="1:31" ht="15.75" customHeight="1" x14ac:dyDescent="0.35">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row>
    <row r="163" spans="1:31" ht="15.75" customHeight="1" x14ac:dyDescent="0.35">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row>
    <row r="164" spans="1:31" ht="15.75" customHeight="1" x14ac:dyDescent="0.35">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row>
    <row r="165" spans="1:31" ht="15.75" customHeight="1" x14ac:dyDescent="0.3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row>
    <row r="166" spans="1:31" ht="15.75" customHeight="1" x14ac:dyDescent="0.35">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row>
    <row r="167" spans="1:31" ht="15.75" customHeight="1" x14ac:dyDescent="0.35">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row>
    <row r="168" spans="1:31" ht="15.75" customHeight="1" x14ac:dyDescent="0.35">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row>
    <row r="169" spans="1:31" ht="15.75" customHeight="1" x14ac:dyDescent="0.35">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row>
    <row r="170" spans="1:31" ht="15.75" customHeight="1" x14ac:dyDescent="0.35">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row>
    <row r="171" spans="1:31" ht="15.75" customHeight="1" x14ac:dyDescent="0.35">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row>
    <row r="172" spans="1:31" ht="15.75" customHeight="1" x14ac:dyDescent="0.35">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row>
    <row r="173" spans="1:31" ht="15.75" customHeight="1" x14ac:dyDescent="0.35">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row>
    <row r="174" spans="1:31" ht="15.75" customHeight="1" x14ac:dyDescent="0.35">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row>
    <row r="175" spans="1:31" ht="15.75" customHeight="1" x14ac:dyDescent="0.3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row>
    <row r="176" spans="1:31" ht="15.75" customHeight="1" x14ac:dyDescent="0.35">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row>
    <row r="177" spans="1:31" ht="15.75" customHeight="1" x14ac:dyDescent="0.35">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row>
    <row r="178" spans="1:31" ht="15.75" customHeight="1" x14ac:dyDescent="0.35">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row>
    <row r="179" spans="1:31" ht="15.75" customHeight="1" x14ac:dyDescent="0.35">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row>
    <row r="180" spans="1:31" ht="15.75" customHeight="1" x14ac:dyDescent="0.35">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row>
    <row r="181" spans="1:31" ht="15.75" customHeight="1" x14ac:dyDescent="0.35">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row>
    <row r="182" spans="1:31" ht="15.75" customHeight="1" x14ac:dyDescent="0.35">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row>
    <row r="183" spans="1:31" ht="15.75" customHeight="1" x14ac:dyDescent="0.35">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row>
    <row r="184" spans="1:31" ht="15.75" customHeight="1" x14ac:dyDescent="0.35">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row>
    <row r="185" spans="1:31" ht="15.75" customHeight="1" x14ac:dyDescent="0.3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row>
    <row r="186" spans="1:31" ht="15.75" customHeight="1" x14ac:dyDescent="0.35">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row>
    <row r="187" spans="1:31" ht="15.75" customHeight="1" x14ac:dyDescent="0.35">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row>
    <row r="188" spans="1:31" ht="15.75" customHeight="1" x14ac:dyDescent="0.35">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row>
    <row r="189" spans="1:31" ht="15.75" customHeight="1" x14ac:dyDescent="0.35">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row>
    <row r="190" spans="1:31" ht="15.75" customHeight="1" x14ac:dyDescent="0.35">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row>
    <row r="191" spans="1:31" ht="15.75" customHeight="1" x14ac:dyDescent="0.35">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row>
    <row r="192" spans="1:31" ht="15.75" customHeight="1" x14ac:dyDescent="0.35">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row>
    <row r="193" spans="1:31" ht="15.75" customHeight="1" x14ac:dyDescent="0.35">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row>
    <row r="194" spans="1:31" ht="15.75" customHeight="1" x14ac:dyDescent="0.35">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row>
    <row r="195" spans="1:31" ht="15.75" customHeight="1" x14ac:dyDescent="0.3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row>
    <row r="196" spans="1:31" ht="15.75" customHeight="1" x14ac:dyDescent="0.35">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row>
    <row r="197" spans="1:31" ht="15.75" customHeight="1" x14ac:dyDescent="0.35">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row>
    <row r="198" spans="1:31" ht="15.75" customHeight="1" x14ac:dyDescent="0.35">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row>
    <row r="199" spans="1:31" ht="15.75" customHeight="1" x14ac:dyDescent="0.35">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row>
    <row r="200" spans="1:31" ht="15.75" customHeight="1" x14ac:dyDescent="0.35">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row>
    <row r="201" spans="1:31" ht="15.75" customHeight="1" x14ac:dyDescent="0.35">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row>
    <row r="202" spans="1:31" ht="15.75" customHeight="1" x14ac:dyDescent="0.35">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row>
    <row r="203" spans="1:31" ht="15.75" customHeight="1" x14ac:dyDescent="0.35">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row>
    <row r="204" spans="1:31" ht="15.75" customHeight="1" x14ac:dyDescent="0.35">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row>
    <row r="205" spans="1:31" ht="15.75" customHeight="1" x14ac:dyDescent="0.3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row>
    <row r="206" spans="1:31" ht="15.75" customHeight="1" x14ac:dyDescent="0.35">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row>
    <row r="207" spans="1:31" ht="15.75" customHeight="1" x14ac:dyDescent="0.35">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row>
    <row r="208" spans="1:31" ht="15.75" customHeight="1" x14ac:dyDescent="0.35">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row>
    <row r="209" spans="1:31" ht="15.75" customHeight="1" x14ac:dyDescent="0.35">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row>
    <row r="210" spans="1:31" ht="15.75" customHeight="1" x14ac:dyDescent="0.35">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row>
    <row r="211" spans="1:31" ht="15.75" customHeight="1" x14ac:dyDescent="0.35">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row>
    <row r="212" spans="1:31" ht="15.75" customHeight="1" x14ac:dyDescent="0.35">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row>
    <row r="213" spans="1:31" ht="15.75" customHeight="1" x14ac:dyDescent="0.35">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row>
    <row r="214" spans="1:31" ht="15.75" customHeight="1" x14ac:dyDescent="0.35">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row>
    <row r="215" spans="1:31" ht="15.75" customHeight="1" x14ac:dyDescent="0.3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c r="AD215" s="122"/>
      <c r="AE215" s="122"/>
    </row>
    <row r="216" spans="1:31" ht="15.75" customHeight="1" x14ac:dyDescent="0.35">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row>
    <row r="217" spans="1:31" ht="15.75" customHeight="1" x14ac:dyDescent="0.35">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row>
    <row r="218" spans="1:31" ht="15.75" customHeight="1" x14ac:dyDescent="0.35">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row>
    <row r="219" spans="1:31" ht="15.75" customHeight="1" x14ac:dyDescent="0.35">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row>
    <row r="220" spans="1:31" ht="15.75" customHeight="1" x14ac:dyDescent="0.35">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row>
    <row r="221" spans="1:31" ht="15.75" customHeight="1" x14ac:dyDescent="0.35">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row>
    <row r="222" spans="1:31" ht="15.75" customHeight="1" x14ac:dyDescent="0.35">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row>
    <row r="223" spans="1:31" ht="15.75" customHeight="1" x14ac:dyDescent="0.35">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row>
    <row r="224" spans="1:31" ht="15.75" customHeight="1" x14ac:dyDescent="0.35">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row>
    <row r="225" spans="1:31" ht="15.75" customHeight="1" x14ac:dyDescent="0.3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row>
    <row r="226" spans="1:31" ht="15.75" customHeight="1" x14ac:dyDescent="0.35">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row>
    <row r="227" spans="1:31" ht="15.75" customHeight="1" x14ac:dyDescent="0.35">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row>
    <row r="228" spans="1:31" ht="15.75" customHeight="1" x14ac:dyDescent="0.35">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row>
    <row r="229" spans="1:31" ht="15.75" customHeight="1" x14ac:dyDescent="0.35">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row>
    <row r="230" spans="1:31" ht="15.75" customHeight="1" x14ac:dyDescent="0.35">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row>
    <row r="231" spans="1:31" ht="15.75" customHeight="1" x14ac:dyDescent="0.35">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row>
    <row r="232" spans="1:31" ht="15.75" customHeight="1" x14ac:dyDescent="0.35">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row>
    <row r="233" spans="1:31" ht="15.75" customHeight="1" x14ac:dyDescent="0.35">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row>
    <row r="234" spans="1:31" ht="15.75" customHeight="1" x14ac:dyDescent="0.35">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row>
    <row r="235" spans="1:31" ht="15.75" customHeight="1" x14ac:dyDescent="0.3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row>
    <row r="236" spans="1:31" ht="15.75" customHeight="1" x14ac:dyDescent="0.35">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row>
    <row r="237" spans="1:31" ht="15.75" customHeight="1" x14ac:dyDescent="0.35">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row>
    <row r="238" spans="1:31" ht="15.75" customHeight="1" x14ac:dyDescent="0.35">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row>
    <row r="239" spans="1:31" ht="15.75" customHeight="1" x14ac:dyDescent="0.35">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row>
    <row r="240" spans="1:31" ht="15.75" customHeight="1" x14ac:dyDescent="0.35">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row>
    <row r="241" spans="1:31" ht="15.75" customHeight="1" x14ac:dyDescent="0.35">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row>
    <row r="242" spans="1:31" ht="15.75" customHeight="1" x14ac:dyDescent="0.35">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row>
    <row r="243" spans="1:31" ht="15.75" customHeight="1" x14ac:dyDescent="0.35">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row>
    <row r="244" spans="1:31" ht="15.75" customHeight="1" x14ac:dyDescent="0.35">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row>
    <row r="245" spans="1:31" ht="15.75" customHeight="1" x14ac:dyDescent="0.3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row>
    <row r="246" spans="1:31" ht="15.75" customHeight="1" x14ac:dyDescent="0.35">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row>
    <row r="247" spans="1:31" ht="15.75" customHeight="1" x14ac:dyDescent="0.35">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row>
    <row r="248" spans="1:31" ht="15.75" customHeight="1" x14ac:dyDescent="0.35">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row>
    <row r="249" spans="1:31" ht="15.75" customHeight="1" x14ac:dyDescent="0.35">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row>
    <row r="250" spans="1:31" ht="15.75" customHeight="1" x14ac:dyDescent="0.35">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row>
    <row r="251" spans="1:31" ht="15.75" customHeight="1" x14ac:dyDescent="0.35">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row>
    <row r="252" spans="1:31" ht="15.75" customHeight="1" x14ac:dyDescent="0.35">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row>
    <row r="253" spans="1:31" ht="15.75" customHeight="1" x14ac:dyDescent="0.35">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row>
    <row r="254" spans="1:31" ht="15.75" customHeight="1" x14ac:dyDescent="0.35">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row>
    <row r="255" spans="1:31" ht="15.75" customHeight="1" x14ac:dyDescent="0.3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row>
    <row r="256" spans="1:31" ht="15.75" customHeight="1" x14ac:dyDescent="0.35">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row>
    <row r="257" spans="1:31" ht="15.75" customHeight="1" x14ac:dyDescent="0.35">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row>
    <row r="258" spans="1:31" ht="15.75" customHeight="1" x14ac:dyDescent="0.35">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row>
    <row r="259" spans="1:31" ht="15.75" customHeight="1" x14ac:dyDescent="0.35">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row>
    <row r="260" spans="1:31" ht="15.75" customHeight="1" x14ac:dyDescent="0.35">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row>
    <row r="261" spans="1:31" ht="15.75" customHeight="1" x14ac:dyDescent="0.35">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row>
    <row r="262" spans="1:31" ht="15.75" customHeight="1" x14ac:dyDescent="0.35">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row>
    <row r="263" spans="1:31" ht="15.75" customHeight="1" x14ac:dyDescent="0.35">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row>
    <row r="264" spans="1:31" ht="15.75" customHeight="1" x14ac:dyDescent="0.35">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row>
    <row r="265" spans="1:31" ht="15.75" customHeight="1" x14ac:dyDescent="0.3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row>
    <row r="266" spans="1:31" ht="15.75" customHeight="1" x14ac:dyDescent="0.35">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row>
    <row r="267" spans="1:31" ht="15.75" customHeight="1" x14ac:dyDescent="0.35">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row>
    <row r="268" spans="1:31" ht="15.75" customHeight="1" x14ac:dyDescent="0.35">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row>
    <row r="269" spans="1:31" ht="15.75" customHeight="1" x14ac:dyDescent="0.35">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row>
    <row r="270" spans="1:31" ht="15.75" customHeight="1" x14ac:dyDescent="0.35">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row>
    <row r="271" spans="1:31" ht="15.75" customHeight="1" x14ac:dyDescent="0.35">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row>
    <row r="272" spans="1:31" ht="15.75" customHeight="1" x14ac:dyDescent="0.35">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row>
    <row r="273" spans="1:31" ht="15.75" customHeight="1" x14ac:dyDescent="0.35">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row>
    <row r="274" spans="1:31" ht="15.75" customHeight="1" x14ac:dyDescent="0.35">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row>
    <row r="275" spans="1:31" ht="15.75" customHeight="1" x14ac:dyDescent="0.3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row>
    <row r="276" spans="1:31" ht="15.75" customHeight="1" x14ac:dyDescent="0.35">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row>
    <row r="277" spans="1:31" ht="15.75" customHeight="1" x14ac:dyDescent="0.35">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row>
    <row r="278" spans="1:31" ht="15.75" customHeight="1" x14ac:dyDescent="0.35">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row>
    <row r="279" spans="1:31" ht="15.75" customHeight="1" x14ac:dyDescent="0.35">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row>
    <row r="280" spans="1:31" ht="15.75" customHeight="1" x14ac:dyDescent="0.35">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row>
    <row r="281" spans="1:31" ht="15.75" customHeight="1" x14ac:dyDescent="0.35">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row>
    <row r="282" spans="1:31" ht="15.75" customHeight="1" x14ac:dyDescent="0.35">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row>
    <row r="283" spans="1:31" ht="15.75" customHeight="1" x14ac:dyDescent="0.35">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row>
    <row r="284" spans="1:31" ht="15.75" customHeight="1" x14ac:dyDescent="0.35">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row>
    <row r="285" spans="1:31" ht="15.75" customHeight="1" x14ac:dyDescent="0.3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row>
    <row r="286" spans="1:31" ht="15.75" customHeight="1" x14ac:dyDescent="0.35">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row>
    <row r="287" spans="1:31" ht="15.75" customHeight="1" x14ac:dyDescent="0.35">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row>
    <row r="288" spans="1:31" ht="15.75" customHeight="1" x14ac:dyDescent="0.35">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row>
    <row r="289" spans="1:31" ht="15.75" customHeight="1" x14ac:dyDescent="0.35">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row>
    <row r="290" spans="1:31" ht="15.75" customHeight="1" x14ac:dyDescent="0.35">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row>
    <row r="291" spans="1:31" ht="15.75" customHeight="1" x14ac:dyDescent="0.35">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row>
    <row r="292" spans="1:31" ht="15.75" customHeight="1" x14ac:dyDescent="0.35">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row>
    <row r="293" spans="1:31" ht="15.75" customHeight="1" x14ac:dyDescent="0.35">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row>
    <row r="294" spans="1:31" ht="15.75" customHeight="1" x14ac:dyDescent="0.35">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row>
    <row r="295" spans="1:31" ht="15.75" customHeight="1" x14ac:dyDescent="0.3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row>
    <row r="296" spans="1:31" ht="15.75" customHeight="1" x14ac:dyDescent="0.35">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row>
    <row r="297" spans="1:31" ht="15.75" customHeight="1" x14ac:dyDescent="0.35">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row>
    <row r="298" spans="1:31" ht="15.75" customHeight="1" x14ac:dyDescent="0.35">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row>
    <row r="299" spans="1:31" ht="15.75" customHeight="1" x14ac:dyDescent="0.35">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row>
    <row r="300" spans="1:31" ht="15.75" customHeight="1" x14ac:dyDescent="0.35">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row>
    <row r="301" spans="1:31" ht="15.75" customHeight="1" x14ac:dyDescent="0.35">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row>
    <row r="302" spans="1:31" ht="15.75" customHeight="1" x14ac:dyDescent="0.35">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row>
    <row r="303" spans="1:31" ht="15.75" customHeight="1" x14ac:dyDescent="0.35">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row>
    <row r="304" spans="1:31" ht="15.75" customHeight="1" x14ac:dyDescent="0.35">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row>
    <row r="305" spans="1:31" ht="15.75" customHeight="1" x14ac:dyDescent="0.3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row>
    <row r="306" spans="1:31" ht="15.75" customHeight="1" x14ac:dyDescent="0.35">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row>
    <row r="307" spans="1:31" ht="15.75" customHeight="1" x14ac:dyDescent="0.35">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row>
    <row r="308" spans="1:31" ht="15.75" customHeight="1" x14ac:dyDescent="0.35">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row>
    <row r="309" spans="1:31" ht="15.75" customHeight="1" x14ac:dyDescent="0.35">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row>
    <row r="310" spans="1:31" ht="15.75" customHeight="1" x14ac:dyDescent="0.35">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row>
    <row r="311" spans="1:31" ht="15.75" customHeight="1" x14ac:dyDescent="0.35">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row>
    <row r="312" spans="1:31" ht="15.75" customHeight="1" x14ac:dyDescent="0.35">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row>
    <row r="313" spans="1:31" ht="15.75" customHeight="1" x14ac:dyDescent="0.35">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row>
    <row r="314" spans="1:31" ht="15.75" customHeight="1" x14ac:dyDescent="0.35">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row>
    <row r="315" spans="1:31" ht="15.75" customHeight="1" x14ac:dyDescent="0.3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row>
    <row r="316" spans="1:31" ht="15.75" customHeight="1" x14ac:dyDescent="0.35">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row>
    <row r="317" spans="1:31" ht="15.75" customHeight="1" x14ac:dyDescent="0.35">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row>
    <row r="318" spans="1:31" ht="15.75" customHeight="1" x14ac:dyDescent="0.35">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row>
    <row r="319" spans="1:31" ht="15.75" customHeight="1" x14ac:dyDescent="0.35">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row>
    <row r="320" spans="1:31" ht="15.75" customHeight="1" x14ac:dyDescent="0.35">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row>
    <row r="321" spans="1:31" ht="15.75" customHeight="1" x14ac:dyDescent="0.35">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row>
    <row r="322" spans="1:31" ht="15.75" customHeight="1" x14ac:dyDescent="0.35">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row>
    <row r="323" spans="1:31" ht="15.75" customHeight="1" x14ac:dyDescent="0.35">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row>
    <row r="324" spans="1:31" ht="15.75" customHeight="1" x14ac:dyDescent="0.35">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row>
    <row r="325" spans="1:31" ht="15.75" customHeight="1" x14ac:dyDescent="0.3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row>
    <row r="326" spans="1:31" ht="15.75" customHeight="1" x14ac:dyDescent="0.35">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row>
    <row r="327" spans="1:31" ht="15.75" customHeight="1" x14ac:dyDescent="0.35">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row>
    <row r="328" spans="1:31" ht="15.75" customHeight="1" x14ac:dyDescent="0.35">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row>
    <row r="329" spans="1:31" ht="15.75" customHeight="1" x14ac:dyDescent="0.35">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row>
    <row r="330" spans="1:31" ht="15.75" customHeight="1" x14ac:dyDescent="0.35">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row>
    <row r="331" spans="1:31" ht="15.75" customHeight="1" x14ac:dyDescent="0.35">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row>
    <row r="332" spans="1:31" ht="15.75" customHeight="1" x14ac:dyDescent="0.35">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row>
    <row r="333" spans="1:31" ht="15.75" customHeight="1" x14ac:dyDescent="0.35">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row>
    <row r="334" spans="1:31" ht="15.75" customHeight="1" x14ac:dyDescent="0.35">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row>
    <row r="335" spans="1:31" ht="15.75" customHeight="1" x14ac:dyDescent="0.3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row>
    <row r="336" spans="1:31" ht="15.75" customHeight="1" x14ac:dyDescent="0.35">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row>
    <row r="337" spans="1:31" ht="15.75" customHeight="1" x14ac:dyDescent="0.35">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row>
    <row r="338" spans="1:31" ht="15.75" customHeight="1" x14ac:dyDescent="0.35">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row>
    <row r="339" spans="1:31" ht="15.75" customHeight="1" x14ac:dyDescent="0.35">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row>
    <row r="340" spans="1:31" ht="15.75" customHeight="1" x14ac:dyDescent="0.35">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row>
    <row r="341" spans="1:31" ht="15.75" customHeight="1" x14ac:dyDescent="0.35">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row>
    <row r="342" spans="1:31" ht="15.75" customHeight="1" x14ac:dyDescent="0.35">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row>
    <row r="343" spans="1:31" ht="15.75" customHeight="1" x14ac:dyDescent="0.35">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row>
    <row r="344" spans="1:31" ht="15.75" customHeight="1" x14ac:dyDescent="0.35">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row>
    <row r="345" spans="1:31" ht="15.75" customHeight="1" x14ac:dyDescent="0.3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row>
    <row r="346" spans="1:31" ht="15.75" customHeight="1" x14ac:dyDescent="0.35">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row>
    <row r="347" spans="1:31" ht="15.75" customHeight="1" x14ac:dyDescent="0.35">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row>
    <row r="348" spans="1:31" ht="15.75" customHeight="1" x14ac:dyDescent="0.35">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row>
    <row r="349" spans="1:31" ht="15.75" customHeight="1" x14ac:dyDescent="0.35">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row>
    <row r="350" spans="1:31" ht="15.75" customHeight="1" x14ac:dyDescent="0.35">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row>
    <row r="351" spans="1:31" ht="15.75" customHeight="1" x14ac:dyDescent="0.35">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row>
    <row r="352" spans="1:31" ht="15.75" customHeight="1" x14ac:dyDescent="0.35">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row>
    <row r="353" spans="1:31" ht="15.75" customHeight="1" x14ac:dyDescent="0.35">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row>
    <row r="354" spans="1:31" ht="15.75" customHeight="1" x14ac:dyDescent="0.35">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row>
    <row r="355" spans="1:31" ht="15.75" customHeight="1" x14ac:dyDescent="0.3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row>
    <row r="356" spans="1:31" ht="15.75" customHeight="1" x14ac:dyDescent="0.35">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row>
    <row r="357" spans="1:31" ht="15.75" customHeight="1" x14ac:dyDescent="0.35">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row>
    <row r="358" spans="1:31" ht="15.75" customHeight="1" x14ac:dyDescent="0.35">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row>
    <row r="359" spans="1:31" ht="15.75" customHeight="1" x14ac:dyDescent="0.35">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row>
    <row r="360" spans="1:31" ht="15.75" customHeight="1" x14ac:dyDescent="0.35">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row>
    <row r="361" spans="1:31" ht="15.75" customHeight="1" x14ac:dyDescent="0.35">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row>
    <row r="362" spans="1:31" ht="15.75" customHeight="1" x14ac:dyDescent="0.35">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row>
    <row r="363" spans="1:31" ht="15.75" customHeight="1" x14ac:dyDescent="0.35">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row>
    <row r="364" spans="1:31" ht="15.75" customHeight="1" x14ac:dyDescent="0.35">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row>
    <row r="365" spans="1:31" ht="15.75" customHeight="1" x14ac:dyDescent="0.3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row>
    <row r="366" spans="1:31" ht="15.75" customHeight="1" x14ac:dyDescent="0.35">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row>
    <row r="367" spans="1:31" ht="15.75" customHeight="1" x14ac:dyDescent="0.35">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row>
    <row r="368" spans="1:31" ht="15.75" customHeight="1" x14ac:dyDescent="0.35">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row>
    <row r="369" spans="1:31" ht="15.75" customHeight="1" x14ac:dyDescent="0.35">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row>
    <row r="370" spans="1:31" ht="15.75" customHeight="1" x14ac:dyDescent="0.35">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row>
    <row r="371" spans="1:31" ht="15.75" customHeight="1" x14ac:dyDescent="0.35">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row>
    <row r="372" spans="1:31" ht="15.75" customHeight="1" x14ac:dyDescent="0.35">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row>
    <row r="373" spans="1:31" ht="15.75" customHeight="1" x14ac:dyDescent="0.35">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row>
    <row r="374" spans="1:31" ht="15.75" customHeight="1" x14ac:dyDescent="0.35">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row>
    <row r="375" spans="1:31" ht="15.75" customHeight="1" x14ac:dyDescent="0.3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row>
    <row r="376" spans="1:31" ht="15.75" customHeight="1" x14ac:dyDescent="0.35">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row>
    <row r="377" spans="1:31" ht="15.75" customHeight="1" x14ac:dyDescent="0.35">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row>
    <row r="378" spans="1:31" ht="15.75" customHeight="1" x14ac:dyDescent="0.35">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row>
    <row r="379" spans="1:31" ht="15.75" customHeight="1" x14ac:dyDescent="0.35">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row>
    <row r="380" spans="1:31" ht="15.75" customHeight="1" x14ac:dyDescent="0.35">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row>
    <row r="381" spans="1:31" ht="15.75" customHeight="1" x14ac:dyDescent="0.35">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row>
    <row r="382" spans="1:31" ht="15.75" customHeight="1" x14ac:dyDescent="0.35">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row>
    <row r="383" spans="1:31" ht="15.75" customHeight="1" x14ac:dyDescent="0.35">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row>
    <row r="384" spans="1:31" ht="15.75" customHeight="1" x14ac:dyDescent="0.35">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row>
    <row r="385" spans="1:31" ht="15.75" customHeight="1" x14ac:dyDescent="0.3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row>
    <row r="386" spans="1:31" ht="15.75" customHeight="1" x14ac:dyDescent="0.35">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row>
    <row r="387" spans="1:31" ht="15.75" customHeight="1" x14ac:dyDescent="0.35">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row>
    <row r="388" spans="1:31" ht="15.75" customHeight="1" x14ac:dyDescent="0.35">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row>
    <row r="389" spans="1:31" ht="15.75" customHeight="1" x14ac:dyDescent="0.35">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row>
    <row r="390" spans="1:31" ht="15.75" customHeight="1" x14ac:dyDescent="0.35">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row>
    <row r="391" spans="1:31" ht="15.75" customHeight="1" x14ac:dyDescent="0.35">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row>
    <row r="392" spans="1:31" ht="15.75" customHeight="1" x14ac:dyDescent="0.35">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row>
    <row r="393" spans="1:31" ht="15.75" customHeight="1" x14ac:dyDescent="0.35">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row>
    <row r="394" spans="1:31" ht="15.75" customHeight="1" x14ac:dyDescent="0.35">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row>
    <row r="395" spans="1:31" ht="15.75" customHeight="1" x14ac:dyDescent="0.3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row>
    <row r="396" spans="1:31" ht="15.75" customHeight="1" x14ac:dyDescent="0.35">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row>
    <row r="397" spans="1:31" ht="15.75" customHeight="1" x14ac:dyDescent="0.35">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row>
    <row r="398" spans="1:31" ht="15.75" customHeight="1" x14ac:dyDescent="0.35">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row>
    <row r="399" spans="1:31" ht="15.75" customHeight="1" x14ac:dyDescent="0.35">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row>
    <row r="400" spans="1:31" ht="15.75" customHeight="1" x14ac:dyDescent="0.35">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row>
    <row r="401" spans="1:31" ht="15.75" customHeight="1" x14ac:dyDescent="0.35">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row>
    <row r="402" spans="1:31" ht="15.75" customHeight="1" x14ac:dyDescent="0.35">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row>
    <row r="403" spans="1:31" ht="15.75" customHeight="1" x14ac:dyDescent="0.35">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row>
    <row r="404" spans="1:31" ht="15.75" customHeight="1" x14ac:dyDescent="0.35">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row>
    <row r="405" spans="1:31" ht="15.75" customHeight="1" x14ac:dyDescent="0.3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row>
    <row r="406" spans="1:31" ht="15.75" customHeight="1" x14ac:dyDescent="0.35">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row>
    <row r="407" spans="1:31" ht="15.75" customHeight="1" x14ac:dyDescent="0.35">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row>
    <row r="408" spans="1:31" ht="15.75" customHeight="1" x14ac:dyDescent="0.35">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row>
    <row r="409" spans="1:31" ht="15.75" customHeight="1" x14ac:dyDescent="0.35">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row>
    <row r="410" spans="1:31" ht="15.75" customHeight="1" x14ac:dyDescent="0.35">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row>
    <row r="411" spans="1:31" ht="15.75" customHeight="1" x14ac:dyDescent="0.35">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row>
    <row r="412" spans="1:31" ht="15.75" customHeight="1" x14ac:dyDescent="0.35">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row>
    <row r="413" spans="1:31" ht="15.75" customHeight="1" x14ac:dyDescent="0.35">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row>
    <row r="414" spans="1:31" ht="15.75" customHeight="1" x14ac:dyDescent="0.35">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row>
    <row r="415" spans="1:31" ht="15.75" customHeight="1" x14ac:dyDescent="0.3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row>
    <row r="416" spans="1:31" ht="15.75" customHeight="1" x14ac:dyDescent="0.35">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row>
    <row r="417" spans="1:31" ht="15.75" customHeight="1" x14ac:dyDescent="0.35">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row>
    <row r="418" spans="1:31" ht="15.75" customHeight="1" x14ac:dyDescent="0.35">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row>
    <row r="419" spans="1:31" ht="15.75" customHeight="1" x14ac:dyDescent="0.35">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row>
    <row r="420" spans="1:31" ht="15.75" customHeight="1" x14ac:dyDescent="0.35">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row>
    <row r="421" spans="1:31" ht="15.75" customHeight="1" x14ac:dyDescent="0.35">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row>
    <row r="422" spans="1:31" ht="15.75" customHeight="1" x14ac:dyDescent="0.35">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row>
    <row r="423" spans="1:31" ht="15.75" customHeight="1" x14ac:dyDescent="0.35">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row>
    <row r="424" spans="1:31" ht="15.75" customHeight="1" x14ac:dyDescent="0.35">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row>
    <row r="425" spans="1:31" ht="15.75" customHeight="1" x14ac:dyDescent="0.3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row>
    <row r="426" spans="1:31" ht="15.75" customHeight="1" x14ac:dyDescent="0.35">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row>
    <row r="427" spans="1:31" ht="15.75" customHeight="1" x14ac:dyDescent="0.35">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row>
    <row r="428" spans="1:31" ht="15.75" customHeight="1" x14ac:dyDescent="0.35">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row>
    <row r="429" spans="1:31" ht="15.75" customHeight="1" x14ac:dyDescent="0.35">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row>
    <row r="430" spans="1:31" ht="15.75" customHeight="1" x14ac:dyDescent="0.35">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row>
    <row r="431" spans="1:31" ht="15.75" customHeight="1" x14ac:dyDescent="0.35">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row>
    <row r="432" spans="1:31" ht="15.75" customHeight="1" x14ac:dyDescent="0.35">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row>
    <row r="433" spans="1:31" ht="15.75" customHeight="1" x14ac:dyDescent="0.35">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row>
    <row r="434" spans="1:31" ht="15.75" customHeight="1" x14ac:dyDescent="0.35">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row>
    <row r="435" spans="1:31" ht="15.75" customHeight="1" x14ac:dyDescent="0.3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row>
    <row r="436" spans="1:31" ht="15.75" customHeight="1" x14ac:dyDescent="0.35">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row>
    <row r="437" spans="1:31" ht="15.75" customHeight="1" x14ac:dyDescent="0.35">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row>
    <row r="438" spans="1:31" ht="15.75" customHeight="1" x14ac:dyDescent="0.35">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row>
    <row r="439" spans="1:31" ht="15.75" customHeight="1" x14ac:dyDescent="0.35">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row>
    <row r="440" spans="1:31" ht="15.75" customHeight="1" x14ac:dyDescent="0.35">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row>
    <row r="441" spans="1:31" ht="15.75" customHeight="1" x14ac:dyDescent="0.35">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row>
    <row r="442" spans="1:31" ht="15.75" customHeight="1" x14ac:dyDescent="0.35">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row>
    <row r="443" spans="1:31" ht="15.75" customHeight="1" x14ac:dyDescent="0.35">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row>
    <row r="444" spans="1:31" ht="15.75" customHeight="1" x14ac:dyDescent="0.35">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row>
    <row r="445" spans="1:31" ht="15.75" customHeight="1" x14ac:dyDescent="0.3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row>
    <row r="446" spans="1:31" ht="15.75" customHeight="1" x14ac:dyDescent="0.35">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row>
    <row r="447" spans="1:31" ht="15.75" customHeight="1" x14ac:dyDescent="0.35">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row>
    <row r="448" spans="1:31" ht="15.75" customHeight="1" x14ac:dyDescent="0.35">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row>
    <row r="449" spans="1:31" ht="15.75" customHeight="1" x14ac:dyDescent="0.35">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row>
    <row r="450" spans="1:31" ht="15.75" customHeight="1" x14ac:dyDescent="0.35">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row>
    <row r="451" spans="1:31" ht="15.75" customHeight="1" x14ac:dyDescent="0.35">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row>
    <row r="452" spans="1:31" ht="15.75" customHeight="1" x14ac:dyDescent="0.35">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row>
    <row r="453" spans="1:31" ht="15.75" customHeight="1" x14ac:dyDescent="0.35">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row>
    <row r="454" spans="1:31" ht="15.75" customHeight="1" x14ac:dyDescent="0.35">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row>
    <row r="455" spans="1:31" ht="15.75" customHeight="1" x14ac:dyDescent="0.3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row>
    <row r="456" spans="1:31" ht="15.75" customHeight="1" x14ac:dyDescent="0.35">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row>
    <row r="457" spans="1:31" ht="15.75" customHeight="1" x14ac:dyDescent="0.35">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row>
    <row r="458" spans="1:31" ht="15.75" customHeight="1" x14ac:dyDescent="0.35">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row>
    <row r="459" spans="1:31" ht="15.75" customHeight="1" x14ac:dyDescent="0.35">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row>
    <row r="460" spans="1:31" ht="15.75" customHeight="1" x14ac:dyDescent="0.35">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row>
    <row r="461" spans="1:31" ht="15.75" customHeight="1" x14ac:dyDescent="0.35">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row>
    <row r="462" spans="1:31" ht="15.75" customHeight="1" x14ac:dyDescent="0.35">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row>
    <row r="463" spans="1:31" ht="15.75" customHeight="1" x14ac:dyDescent="0.35">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row>
    <row r="464" spans="1:31" ht="15.75" customHeight="1" x14ac:dyDescent="0.35">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row>
    <row r="465" spans="1:31" ht="15.75" customHeight="1" x14ac:dyDescent="0.3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row>
    <row r="466" spans="1:31" ht="15.75" customHeight="1" x14ac:dyDescent="0.35">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row>
    <row r="467" spans="1:31" ht="15.75" customHeight="1" x14ac:dyDescent="0.35">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row>
    <row r="468" spans="1:31" ht="15.75" customHeight="1" x14ac:dyDescent="0.35">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row>
    <row r="469" spans="1:31" ht="15.75" customHeight="1" x14ac:dyDescent="0.35">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row>
    <row r="470" spans="1:31" ht="15.75" customHeight="1" x14ac:dyDescent="0.35">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row>
    <row r="471" spans="1:31" ht="15.75" customHeight="1" x14ac:dyDescent="0.35">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row>
    <row r="472" spans="1:31" ht="15.75" customHeight="1" x14ac:dyDescent="0.35">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row>
    <row r="473" spans="1:31" ht="15.75" customHeight="1" x14ac:dyDescent="0.35">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row>
    <row r="474" spans="1:31" ht="15.75" customHeight="1" x14ac:dyDescent="0.35">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row>
    <row r="475" spans="1:31" ht="15.75" customHeight="1" x14ac:dyDescent="0.3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row>
    <row r="476" spans="1:31" ht="15.75" customHeight="1" x14ac:dyDescent="0.35">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row>
    <row r="477" spans="1:31" ht="15.75" customHeight="1" x14ac:dyDescent="0.35">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row>
    <row r="478" spans="1:31" ht="15.75" customHeight="1" x14ac:dyDescent="0.35">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row>
    <row r="479" spans="1:31" ht="15.75" customHeight="1" x14ac:dyDescent="0.35">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row>
    <row r="480" spans="1:31" ht="15.75" customHeight="1" x14ac:dyDescent="0.35">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row>
    <row r="481" spans="1:31" ht="15.75" customHeight="1" x14ac:dyDescent="0.35">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row>
    <row r="482" spans="1:31" ht="15.75" customHeight="1" x14ac:dyDescent="0.35">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row>
    <row r="483" spans="1:31" ht="15.75" customHeight="1" x14ac:dyDescent="0.35">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row>
    <row r="484" spans="1:31" ht="15.75" customHeight="1" x14ac:dyDescent="0.35">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row>
    <row r="485" spans="1:31" ht="15.75" customHeight="1" x14ac:dyDescent="0.3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row>
    <row r="486" spans="1:31" ht="15.75" customHeight="1" x14ac:dyDescent="0.35">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row>
    <row r="487" spans="1:31" ht="15.75" customHeight="1" x14ac:dyDescent="0.35">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row>
    <row r="488" spans="1:31" ht="15.75" customHeight="1" x14ac:dyDescent="0.35">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row>
    <row r="489" spans="1:31" ht="15.75" customHeight="1" x14ac:dyDescent="0.35">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row>
    <row r="490" spans="1:31" ht="15.75" customHeight="1" x14ac:dyDescent="0.35">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row>
    <row r="491" spans="1:31" ht="15.75" customHeight="1" x14ac:dyDescent="0.35">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row>
    <row r="492" spans="1:31" ht="15.75" customHeight="1" x14ac:dyDescent="0.35">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row>
    <row r="493" spans="1:31" ht="15.75" customHeight="1" x14ac:dyDescent="0.35">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row>
    <row r="494" spans="1:31" ht="15.75" customHeight="1" x14ac:dyDescent="0.35">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row>
    <row r="495" spans="1:31" ht="15.75" customHeight="1" x14ac:dyDescent="0.3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row>
    <row r="496" spans="1:31" ht="15.75" customHeight="1" x14ac:dyDescent="0.35">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row>
    <row r="497" spans="1:31" ht="15.75" customHeight="1" x14ac:dyDescent="0.35">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row>
    <row r="498" spans="1:31" ht="15.75" customHeight="1" x14ac:dyDescent="0.35">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row>
    <row r="499" spans="1:31" ht="15.75" customHeight="1" x14ac:dyDescent="0.35">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row>
    <row r="500" spans="1:31" ht="15.75" customHeight="1" x14ac:dyDescent="0.35">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row>
    <row r="501" spans="1:31" ht="15.75" customHeight="1" x14ac:dyDescent="0.35">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row>
    <row r="502" spans="1:31" ht="15.75" customHeight="1" x14ac:dyDescent="0.35">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row>
    <row r="503" spans="1:31" ht="15.75" customHeight="1" x14ac:dyDescent="0.35">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row>
    <row r="504" spans="1:31" ht="15.75" customHeight="1" x14ac:dyDescent="0.35">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row>
    <row r="505" spans="1:31" ht="15.75" customHeight="1" x14ac:dyDescent="0.3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row>
    <row r="506" spans="1:31" ht="15.75" customHeight="1" x14ac:dyDescent="0.35">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row>
    <row r="507" spans="1:31" ht="15.75" customHeight="1" x14ac:dyDescent="0.35">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row>
    <row r="508" spans="1:31" ht="15.75" customHeight="1" x14ac:dyDescent="0.35">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row>
    <row r="509" spans="1:31" ht="15.75" customHeight="1" x14ac:dyDescent="0.35">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row>
    <row r="510" spans="1:31" ht="15.75" customHeight="1" x14ac:dyDescent="0.35">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row>
    <row r="511" spans="1:31" ht="15.75" customHeight="1" x14ac:dyDescent="0.35">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row>
    <row r="512" spans="1:31" ht="15.75" customHeight="1" x14ac:dyDescent="0.35">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row>
    <row r="513" spans="1:31" ht="15.75" customHeight="1" x14ac:dyDescent="0.35">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row>
    <row r="514" spans="1:31" ht="15.75" customHeight="1" x14ac:dyDescent="0.35">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row>
    <row r="515" spans="1:31" ht="15.75" customHeight="1" x14ac:dyDescent="0.3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row>
    <row r="516" spans="1:31" ht="15.75" customHeight="1" x14ac:dyDescent="0.35">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row>
    <row r="517" spans="1:31" ht="15.75" customHeight="1" x14ac:dyDescent="0.35">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row>
    <row r="518" spans="1:31" ht="15.75" customHeight="1" x14ac:dyDescent="0.35">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row>
    <row r="519" spans="1:31" ht="15.75" customHeight="1" x14ac:dyDescent="0.35">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row>
    <row r="520" spans="1:31" ht="15.75" customHeight="1" x14ac:dyDescent="0.35">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row>
    <row r="521" spans="1:31" ht="15.75" customHeight="1" x14ac:dyDescent="0.35">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row>
    <row r="522" spans="1:31" ht="15.75" customHeight="1" x14ac:dyDescent="0.35">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row>
    <row r="523" spans="1:31" ht="15.75" customHeight="1" x14ac:dyDescent="0.35">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row>
    <row r="524" spans="1:31" ht="15.75" customHeight="1" x14ac:dyDescent="0.35">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row>
    <row r="525" spans="1:31" ht="15.75" customHeight="1" x14ac:dyDescent="0.3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row>
    <row r="526" spans="1:31" ht="15.75" customHeight="1" x14ac:dyDescent="0.35">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row>
    <row r="527" spans="1:31" ht="15.75" customHeight="1" x14ac:dyDescent="0.35">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row>
    <row r="528" spans="1:31" ht="15.75" customHeight="1" x14ac:dyDescent="0.35">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row>
    <row r="529" spans="1:31" ht="15.75" customHeight="1" x14ac:dyDescent="0.35">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row>
    <row r="530" spans="1:31" ht="15.75" customHeight="1" x14ac:dyDescent="0.35">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row>
    <row r="531" spans="1:31" ht="15.75" customHeight="1" x14ac:dyDescent="0.35">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row>
    <row r="532" spans="1:31" ht="15.75" customHeight="1" x14ac:dyDescent="0.35">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row>
    <row r="533" spans="1:31" ht="15.75" customHeight="1" x14ac:dyDescent="0.35">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row>
    <row r="534" spans="1:31" ht="15.75" customHeight="1" x14ac:dyDescent="0.35">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row>
    <row r="535" spans="1:31" ht="15.75" customHeight="1" x14ac:dyDescent="0.3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row>
    <row r="536" spans="1:31" ht="15.75" customHeight="1" x14ac:dyDescent="0.35">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row>
    <row r="537" spans="1:31" ht="15.75" customHeight="1" x14ac:dyDescent="0.35">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row>
    <row r="538" spans="1:31" ht="15.75" customHeight="1" x14ac:dyDescent="0.35">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row>
    <row r="539" spans="1:31" ht="15.75" customHeight="1" x14ac:dyDescent="0.35">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row>
    <row r="540" spans="1:31" ht="15.75" customHeight="1" x14ac:dyDescent="0.35">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row>
    <row r="541" spans="1:31" ht="15.75" customHeight="1" x14ac:dyDescent="0.35">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row>
    <row r="542" spans="1:31" ht="15.75" customHeight="1" x14ac:dyDescent="0.35">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row>
    <row r="543" spans="1:31" ht="15.75" customHeight="1" x14ac:dyDescent="0.35">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row>
    <row r="544" spans="1:31" ht="15.75" customHeight="1" x14ac:dyDescent="0.35">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row>
    <row r="545" spans="1:31" ht="15.75" customHeight="1" x14ac:dyDescent="0.3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row>
    <row r="546" spans="1:31" ht="15.75" customHeight="1" x14ac:dyDescent="0.35">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row>
    <row r="547" spans="1:31" ht="15.75" customHeight="1" x14ac:dyDescent="0.35">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row>
    <row r="548" spans="1:31" ht="15.75" customHeight="1" x14ac:dyDescent="0.35">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row>
    <row r="549" spans="1:31" ht="15.75" customHeight="1" x14ac:dyDescent="0.35">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row>
    <row r="550" spans="1:31" ht="15.75" customHeight="1" x14ac:dyDescent="0.35">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row>
    <row r="551" spans="1:31" ht="15.75" customHeight="1" x14ac:dyDescent="0.35">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row>
    <row r="552" spans="1:31" ht="15.75" customHeight="1" x14ac:dyDescent="0.35">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row>
    <row r="553" spans="1:31" ht="15.75" customHeight="1" x14ac:dyDescent="0.35">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row>
    <row r="554" spans="1:31" ht="15.75" customHeight="1" x14ac:dyDescent="0.35">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row>
    <row r="555" spans="1:31" ht="15.75" customHeight="1" x14ac:dyDescent="0.3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row>
    <row r="556" spans="1:31" ht="15.75" customHeight="1" x14ac:dyDescent="0.35">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row>
    <row r="557" spans="1:31" ht="15.75" customHeight="1" x14ac:dyDescent="0.35">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row>
    <row r="558" spans="1:31" ht="15.75" customHeight="1" x14ac:dyDescent="0.35">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row>
    <row r="559" spans="1:31" ht="15.75" customHeight="1" x14ac:dyDescent="0.35">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row>
    <row r="560" spans="1:31" ht="15.75" customHeight="1" x14ac:dyDescent="0.35">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row>
    <row r="561" spans="1:31" ht="15.75" customHeight="1" x14ac:dyDescent="0.35">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row>
    <row r="562" spans="1:31" ht="15.75" customHeight="1" x14ac:dyDescent="0.35">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row>
    <row r="563" spans="1:31" ht="15.75" customHeight="1" x14ac:dyDescent="0.35">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row>
    <row r="564" spans="1:31" ht="15.75" customHeight="1" x14ac:dyDescent="0.35">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row>
    <row r="565" spans="1:31" ht="15.75" customHeight="1" x14ac:dyDescent="0.3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row>
    <row r="566" spans="1:31" ht="15.75" customHeight="1" x14ac:dyDescent="0.35">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row>
    <row r="567" spans="1:31" ht="15.75" customHeight="1" x14ac:dyDescent="0.35">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row>
    <row r="568" spans="1:31" ht="15.75" customHeight="1" x14ac:dyDescent="0.35">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row>
    <row r="569" spans="1:31" ht="15.75" customHeight="1" x14ac:dyDescent="0.35">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row>
    <row r="570" spans="1:31" ht="15.75" customHeight="1" x14ac:dyDescent="0.35">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row>
    <row r="571" spans="1:31" ht="15.75" customHeight="1" x14ac:dyDescent="0.35">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row>
    <row r="572" spans="1:31" ht="15.75" customHeight="1" x14ac:dyDescent="0.35">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row>
    <row r="573" spans="1:31" ht="15.75" customHeight="1" x14ac:dyDescent="0.35">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row>
    <row r="574" spans="1:31" ht="15.75" customHeight="1" x14ac:dyDescent="0.35">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row>
    <row r="575" spans="1:31" ht="15.75" customHeight="1" x14ac:dyDescent="0.3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row>
    <row r="576" spans="1:31" ht="15.75" customHeight="1" x14ac:dyDescent="0.35">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row>
    <row r="577" spans="1:31" ht="15.75" customHeight="1" x14ac:dyDescent="0.35">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row>
    <row r="578" spans="1:31" ht="15.75" customHeight="1" x14ac:dyDescent="0.35">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row>
    <row r="579" spans="1:31" ht="15.75" customHeight="1" x14ac:dyDescent="0.35">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row>
    <row r="580" spans="1:31" ht="15.75" customHeight="1" x14ac:dyDescent="0.35">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row>
    <row r="581" spans="1:31" ht="15.75" customHeight="1" x14ac:dyDescent="0.35">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row>
    <row r="582" spans="1:31" ht="15.75" customHeight="1" x14ac:dyDescent="0.35">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row>
    <row r="583" spans="1:31" ht="15.75" customHeight="1" x14ac:dyDescent="0.35">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row>
    <row r="584" spans="1:31" ht="15.75" customHeight="1" x14ac:dyDescent="0.35">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row>
    <row r="585" spans="1:31" ht="15.75" customHeight="1" x14ac:dyDescent="0.3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row>
    <row r="586" spans="1:31" ht="15.75" customHeight="1" x14ac:dyDescent="0.35">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row>
    <row r="587" spans="1:31" ht="15.75" customHeight="1" x14ac:dyDescent="0.35">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row>
    <row r="588" spans="1:31" ht="15.75" customHeight="1" x14ac:dyDescent="0.35">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row>
    <row r="589" spans="1:31" ht="15.75" customHeight="1" x14ac:dyDescent="0.35">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row>
    <row r="590" spans="1:31" ht="15.75" customHeight="1" x14ac:dyDescent="0.35">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row>
    <row r="591" spans="1:31" ht="15.75" customHeight="1" x14ac:dyDescent="0.35">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row>
    <row r="592" spans="1:31" ht="15.75" customHeight="1" x14ac:dyDescent="0.35">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row>
    <row r="593" spans="1:31" ht="15.75" customHeight="1" x14ac:dyDescent="0.35">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row>
    <row r="594" spans="1:31" ht="15.75" customHeight="1" x14ac:dyDescent="0.35">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row>
    <row r="595" spans="1:31" ht="15.75" customHeight="1" x14ac:dyDescent="0.3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row>
    <row r="596" spans="1:31" ht="15.75" customHeight="1" x14ac:dyDescent="0.35">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row>
    <row r="597" spans="1:31" ht="15.75" customHeight="1" x14ac:dyDescent="0.35">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row>
    <row r="598" spans="1:31" ht="15.75" customHeight="1" x14ac:dyDescent="0.35">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row>
    <row r="599" spans="1:31" ht="15.75" customHeight="1" x14ac:dyDescent="0.35">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row>
    <row r="600" spans="1:31" ht="15.75" customHeight="1" x14ac:dyDescent="0.35">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row>
    <row r="601" spans="1:31" ht="15.75" customHeight="1" x14ac:dyDescent="0.35">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row>
    <row r="602" spans="1:31" ht="15.75" customHeight="1" x14ac:dyDescent="0.35">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row>
    <row r="603" spans="1:31" ht="15.75" customHeight="1" x14ac:dyDescent="0.35">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row>
    <row r="604" spans="1:31" ht="15.75" customHeight="1" x14ac:dyDescent="0.35">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row>
    <row r="605" spans="1:31" ht="15.75" customHeight="1" x14ac:dyDescent="0.3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row>
    <row r="606" spans="1:31" ht="15.75" customHeight="1" x14ac:dyDescent="0.35">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row>
    <row r="607" spans="1:31" ht="15.75" customHeight="1" x14ac:dyDescent="0.35">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row>
    <row r="608" spans="1:31" ht="15.75" customHeight="1" x14ac:dyDescent="0.35">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row>
    <row r="609" spans="1:31" ht="15.75" customHeight="1" x14ac:dyDescent="0.35">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row>
    <row r="610" spans="1:31" ht="15.75" customHeight="1" x14ac:dyDescent="0.35">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row>
    <row r="611" spans="1:31" ht="15.75" customHeight="1" x14ac:dyDescent="0.35">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row>
    <row r="612" spans="1:31" ht="15.75" customHeight="1" x14ac:dyDescent="0.35">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row>
    <row r="613" spans="1:31" ht="15.75" customHeight="1" x14ac:dyDescent="0.35">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row>
    <row r="614" spans="1:31" ht="15.75" customHeight="1" x14ac:dyDescent="0.35">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row>
    <row r="615" spans="1:31" ht="15.75" customHeight="1" x14ac:dyDescent="0.3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row>
    <row r="616" spans="1:31" ht="15.75" customHeight="1" x14ac:dyDescent="0.35">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row>
    <row r="617" spans="1:31" ht="15.75" customHeight="1" x14ac:dyDescent="0.35">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row>
    <row r="618" spans="1:31" ht="15.75" customHeight="1" x14ac:dyDescent="0.35">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row>
    <row r="619" spans="1:31" ht="15.75" customHeight="1" x14ac:dyDescent="0.35">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row>
    <row r="620" spans="1:31" ht="15.75" customHeight="1" x14ac:dyDescent="0.35">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row>
    <row r="621" spans="1:31" ht="15.75" customHeight="1" x14ac:dyDescent="0.35">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row>
    <row r="622" spans="1:31" ht="15.75" customHeight="1" x14ac:dyDescent="0.35">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row>
    <row r="623" spans="1:31" ht="15.75" customHeight="1" x14ac:dyDescent="0.35">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row>
    <row r="624" spans="1:31" ht="15.75" customHeight="1" x14ac:dyDescent="0.35">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row>
    <row r="625" spans="1:31" ht="15.75" customHeight="1" x14ac:dyDescent="0.3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row>
    <row r="626" spans="1:31" ht="15.75" customHeight="1" x14ac:dyDescent="0.35">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row>
    <row r="627" spans="1:31" ht="15.75" customHeight="1" x14ac:dyDescent="0.35">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row>
    <row r="628" spans="1:31" ht="15.75" customHeight="1" x14ac:dyDescent="0.35">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row>
    <row r="629" spans="1:31" ht="15.75" customHeight="1" x14ac:dyDescent="0.35">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row>
    <row r="630" spans="1:31" ht="15.75" customHeight="1" x14ac:dyDescent="0.35">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row>
    <row r="631" spans="1:31" ht="15.75" customHeight="1" x14ac:dyDescent="0.35">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row>
    <row r="632" spans="1:31" ht="15.75" customHeight="1" x14ac:dyDescent="0.35">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row>
    <row r="633" spans="1:31" ht="15.75" customHeight="1" x14ac:dyDescent="0.35">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row>
    <row r="634" spans="1:31" ht="15.75" customHeight="1" x14ac:dyDescent="0.35">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row>
    <row r="635" spans="1:31" ht="15.75" customHeight="1" x14ac:dyDescent="0.3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row>
    <row r="636" spans="1:31" ht="15.75" customHeight="1" x14ac:dyDescent="0.35">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row>
    <row r="637" spans="1:31" ht="15.75" customHeight="1" x14ac:dyDescent="0.35">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row>
    <row r="638" spans="1:31" ht="15.75" customHeight="1" x14ac:dyDescent="0.35">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row>
    <row r="639" spans="1:31" ht="15.75" customHeight="1" x14ac:dyDescent="0.35">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row>
    <row r="640" spans="1:31" ht="15.75" customHeight="1" x14ac:dyDescent="0.35">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row>
    <row r="641" spans="1:31" ht="15.75" customHeight="1" x14ac:dyDescent="0.35">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row>
    <row r="642" spans="1:31" ht="15.75" customHeight="1" x14ac:dyDescent="0.35">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row>
    <row r="643" spans="1:31" ht="15.75" customHeight="1" x14ac:dyDescent="0.35">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row>
    <row r="644" spans="1:31" ht="15.75" customHeight="1" x14ac:dyDescent="0.35">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row>
    <row r="645" spans="1:31" ht="15.75" customHeight="1" x14ac:dyDescent="0.3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row>
    <row r="646" spans="1:31" ht="15.75" customHeight="1" x14ac:dyDescent="0.35">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row>
    <row r="647" spans="1:31" ht="15.75" customHeight="1" x14ac:dyDescent="0.35">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row>
    <row r="648" spans="1:31" ht="15.75" customHeight="1" x14ac:dyDescent="0.35">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row>
    <row r="649" spans="1:31" ht="15.75" customHeight="1" x14ac:dyDescent="0.35">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row>
    <row r="650" spans="1:31" ht="15.75" customHeight="1" x14ac:dyDescent="0.35">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row>
    <row r="651" spans="1:31" ht="15.75" customHeight="1" x14ac:dyDescent="0.35">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row>
    <row r="652" spans="1:31" ht="15.75" customHeight="1" x14ac:dyDescent="0.35">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row>
    <row r="653" spans="1:31" ht="15.75" customHeight="1" x14ac:dyDescent="0.35">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row>
    <row r="654" spans="1:31" ht="15.75" customHeight="1" x14ac:dyDescent="0.35">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row>
    <row r="655" spans="1:31" ht="15.75" customHeight="1" x14ac:dyDescent="0.3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row>
    <row r="656" spans="1:31" ht="15.75" customHeight="1" x14ac:dyDescent="0.35">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row>
    <row r="657" spans="1:31" ht="15.75" customHeight="1" x14ac:dyDescent="0.35">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row>
    <row r="658" spans="1:31" ht="15.75" customHeight="1" x14ac:dyDescent="0.35">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row>
    <row r="659" spans="1:31" ht="15.75" customHeight="1" x14ac:dyDescent="0.35">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row>
    <row r="660" spans="1:31" ht="15.75" customHeight="1" x14ac:dyDescent="0.35">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row>
    <row r="661" spans="1:31" ht="15.75" customHeight="1" x14ac:dyDescent="0.35">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row>
    <row r="662" spans="1:31" ht="15.75" customHeight="1" x14ac:dyDescent="0.35">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row>
    <row r="663" spans="1:31" ht="15.75" customHeight="1" x14ac:dyDescent="0.35">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row>
    <row r="664" spans="1:31" ht="15.75" customHeight="1" x14ac:dyDescent="0.35">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row>
    <row r="665" spans="1:31" ht="15.75" customHeight="1" x14ac:dyDescent="0.3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row>
    <row r="666" spans="1:31" ht="15.75" customHeight="1" x14ac:dyDescent="0.35">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row>
    <row r="667" spans="1:31" ht="15.75" customHeight="1" x14ac:dyDescent="0.35">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row>
    <row r="668" spans="1:31" ht="15.75" customHeight="1" x14ac:dyDescent="0.35">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row>
    <row r="669" spans="1:31" ht="15.75" customHeight="1" x14ac:dyDescent="0.35">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row>
    <row r="670" spans="1:31" ht="15.75" customHeight="1" x14ac:dyDescent="0.35">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row>
    <row r="671" spans="1:31" ht="15.75" customHeight="1" x14ac:dyDescent="0.35">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row>
    <row r="672" spans="1:31" ht="15.75" customHeight="1" x14ac:dyDescent="0.35">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row>
    <row r="673" spans="1:31" ht="15.75" customHeight="1" x14ac:dyDescent="0.35">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row>
    <row r="674" spans="1:31" ht="15.75" customHeight="1" x14ac:dyDescent="0.35">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row>
    <row r="675" spans="1:31" ht="15.75" customHeight="1" x14ac:dyDescent="0.3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row>
    <row r="676" spans="1:31" ht="15.75" customHeight="1" x14ac:dyDescent="0.35">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row>
    <row r="677" spans="1:31" ht="15.75" customHeight="1" x14ac:dyDescent="0.35">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row>
    <row r="678" spans="1:31" ht="15.75" customHeight="1" x14ac:dyDescent="0.35">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row>
    <row r="679" spans="1:31" ht="15.75" customHeight="1" x14ac:dyDescent="0.35">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row>
    <row r="680" spans="1:31" ht="15.75" customHeight="1" x14ac:dyDescent="0.35">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row>
    <row r="681" spans="1:31" ht="15.75" customHeight="1" x14ac:dyDescent="0.35">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row>
    <row r="682" spans="1:31" ht="15.75" customHeight="1" x14ac:dyDescent="0.35">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row>
    <row r="683" spans="1:31" ht="15.75" customHeight="1" x14ac:dyDescent="0.35">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row>
    <row r="684" spans="1:31" ht="15.75" customHeight="1" x14ac:dyDescent="0.35">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row>
    <row r="685" spans="1:31" ht="15.75" customHeight="1" x14ac:dyDescent="0.3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row>
    <row r="686" spans="1:31" ht="15.75" customHeight="1" x14ac:dyDescent="0.35">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row>
    <row r="687" spans="1:31" ht="15.75" customHeight="1" x14ac:dyDescent="0.35">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row>
    <row r="688" spans="1:31" ht="15.75" customHeight="1" x14ac:dyDescent="0.35">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row>
    <row r="689" spans="1:31" ht="15.75" customHeight="1" x14ac:dyDescent="0.35">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row>
    <row r="690" spans="1:31" ht="15.75" customHeight="1" x14ac:dyDescent="0.35">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row>
    <row r="691" spans="1:31" ht="15.75" customHeight="1" x14ac:dyDescent="0.35">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row>
    <row r="692" spans="1:31" ht="15.75" customHeight="1" x14ac:dyDescent="0.35">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row>
    <row r="693" spans="1:31" ht="15.75" customHeight="1" x14ac:dyDescent="0.35">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row>
    <row r="694" spans="1:31" ht="15.75" customHeight="1" x14ac:dyDescent="0.35">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row>
    <row r="695" spans="1:31" ht="15.75" customHeight="1" x14ac:dyDescent="0.3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row>
    <row r="696" spans="1:31" ht="15.75" customHeight="1" x14ac:dyDescent="0.35">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row>
    <row r="697" spans="1:31" ht="15.75" customHeight="1" x14ac:dyDescent="0.35">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row>
    <row r="698" spans="1:31" ht="15.75" customHeight="1" x14ac:dyDescent="0.35">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row>
    <row r="699" spans="1:31" ht="15.75" customHeight="1" x14ac:dyDescent="0.35">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row>
    <row r="700" spans="1:31" ht="15.75" customHeight="1" x14ac:dyDescent="0.35">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row>
    <row r="701" spans="1:31" ht="15.75" customHeight="1" x14ac:dyDescent="0.35">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row>
    <row r="702" spans="1:31" ht="15.75" customHeight="1" x14ac:dyDescent="0.35">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row>
    <row r="703" spans="1:31" ht="15.75" customHeight="1" x14ac:dyDescent="0.35">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row>
    <row r="704" spans="1:31" ht="15.75" customHeight="1" x14ac:dyDescent="0.35">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row>
    <row r="705" spans="1:31" ht="15.75" customHeight="1" x14ac:dyDescent="0.3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row>
    <row r="706" spans="1:31" ht="15.75" customHeight="1" x14ac:dyDescent="0.35">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row>
    <row r="707" spans="1:31" ht="15.75" customHeight="1" x14ac:dyDescent="0.35">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row>
    <row r="708" spans="1:31" ht="15.75" customHeight="1" x14ac:dyDescent="0.35">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row>
    <row r="709" spans="1:31" ht="15.75" customHeight="1" x14ac:dyDescent="0.35">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row>
    <row r="710" spans="1:31" ht="15.75" customHeight="1" x14ac:dyDescent="0.35">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row>
    <row r="711" spans="1:31" ht="15.75" customHeight="1" x14ac:dyDescent="0.35">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row>
    <row r="712" spans="1:31" ht="15.75" customHeight="1" x14ac:dyDescent="0.35">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row>
    <row r="713" spans="1:31" ht="15.75" customHeight="1" x14ac:dyDescent="0.35">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row>
    <row r="714" spans="1:31" ht="15.75" customHeight="1" x14ac:dyDescent="0.35">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row>
    <row r="715" spans="1:31" ht="15.75" customHeight="1" x14ac:dyDescent="0.3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row>
    <row r="716" spans="1:31" ht="15.75" customHeight="1" x14ac:dyDescent="0.35">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row>
    <row r="717" spans="1:31" ht="15.75" customHeight="1" x14ac:dyDescent="0.35">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row>
    <row r="718" spans="1:31" ht="15.75" customHeight="1" x14ac:dyDescent="0.35">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row>
    <row r="719" spans="1:31" ht="15.75" customHeight="1" x14ac:dyDescent="0.35">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row>
    <row r="720" spans="1:31" ht="15.75" customHeight="1" x14ac:dyDescent="0.35">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row>
    <row r="721" spans="1:31" ht="15.75" customHeight="1" x14ac:dyDescent="0.35">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row>
    <row r="722" spans="1:31" ht="15.75" customHeight="1" x14ac:dyDescent="0.35">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row>
    <row r="723" spans="1:31" ht="15.75" customHeight="1" x14ac:dyDescent="0.35">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row>
    <row r="724" spans="1:31" ht="15.75" customHeight="1" x14ac:dyDescent="0.35">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row>
    <row r="725" spans="1:31" ht="15.75" customHeight="1" x14ac:dyDescent="0.3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row>
    <row r="726" spans="1:31" ht="15.75" customHeight="1" x14ac:dyDescent="0.35">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row>
    <row r="727" spans="1:31" ht="15.75" customHeight="1" x14ac:dyDescent="0.35">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row>
    <row r="728" spans="1:31" ht="15.75" customHeight="1" x14ac:dyDescent="0.35">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row>
    <row r="729" spans="1:31" ht="15.75" customHeight="1" x14ac:dyDescent="0.35">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row>
    <row r="730" spans="1:31" ht="15.75" customHeight="1" x14ac:dyDescent="0.35">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row>
    <row r="731" spans="1:31" ht="15.75" customHeight="1" x14ac:dyDescent="0.35">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row>
    <row r="732" spans="1:31" ht="15.75" customHeight="1" x14ac:dyDescent="0.35">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row>
    <row r="733" spans="1:31" ht="15.75" customHeight="1" x14ac:dyDescent="0.35">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row>
    <row r="734" spans="1:31" ht="15.75" customHeight="1" x14ac:dyDescent="0.35">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row>
    <row r="735" spans="1:31" ht="15.75" customHeight="1" x14ac:dyDescent="0.3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row>
    <row r="736" spans="1:31" ht="15.75" customHeight="1" x14ac:dyDescent="0.35">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row>
    <row r="737" spans="1:31" ht="15.75" customHeight="1" x14ac:dyDescent="0.35">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row>
    <row r="738" spans="1:31" ht="15.75" customHeight="1" x14ac:dyDescent="0.35">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row>
    <row r="739" spans="1:31" ht="15.75" customHeight="1" x14ac:dyDescent="0.35">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row>
    <row r="740" spans="1:31" ht="15.75" customHeight="1" x14ac:dyDescent="0.35">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row>
    <row r="741" spans="1:31" ht="15.75" customHeight="1" x14ac:dyDescent="0.35">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row>
    <row r="742" spans="1:31" ht="15.75" customHeight="1" x14ac:dyDescent="0.35">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row>
    <row r="743" spans="1:31" ht="15.75" customHeight="1" x14ac:dyDescent="0.35">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row>
    <row r="744" spans="1:31" ht="15.75" customHeight="1" x14ac:dyDescent="0.35">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row>
    <row r="745" spans="1:31" ht="15.75" customHeight="1" x14ac:dyDescent="0.3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row>
    <row r="746" spans="1:31" ht="15.75" customHeight="1" x14ac:dyDescent="0.35">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row>
    <row r="747" spans="1:31" ht="15.75" customHeight="1" x14ac:dyDescent="0.35">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row>
    <row r="748" spans="1:31" ht="15.75" customHeight="1" x14ac:dyDescent="0.35">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row>
    <row r="749" spans="1:31" ht="15.75" customHeight="1" x14ac:dyDescent="0.35">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row>
    <row r="750" spans="1:31" ht="15.75" customHeight="1" x14ac:dyDescent="0.35">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row>
    <row r="751" spans="1:31" ht="15.75" customHeight="1" x14ac:dyDescent="0.35">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row>
    <row r="752" spans="1:31" ht="15.75" customHeight="1" x14ac:dyDescent="0.35">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row>
    <row r="753" spans="1:31" ht="15.75" customHeight="1" x14ac:dyDescent="0.35">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row>
    <row r="754" spans="1:31" ht="15.75" customHeight="1" x14ac:dyDescent="0.35">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row>
    <row r="755" spans="1:31" ht="15.75" customHeight="1" x14ac:dyDescent="0.3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row>
    <row r="756" spans="1:31" ht="15.75" customHeight="1" x14ac:dyDescent="0.35">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row>
    <row r="757" spans="1:31" ht="15.75" customHeight="1" x14ac:dyDescent="0.35">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row>
    <row r="758" spans="1:31" ht="15.75" customHeight="1" x14ac:dyDescent="0.35">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row>
    <row r="759" spans="1:31" ht="15.75" customHeight="1" x14ac:dyDescent="0.35">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row>
    <row r="760" spans="1:31" ht="15.75" customHeight="1" x14ac:dyDescent="0.35">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row>
    <row r="761" spans="1:31" ht="15.75" customHeight="1" x14ac:dyDescent="0.35">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row>
    <row r="762" spans="1:31" ht="15.75" customHeight="1" x14ac:dyDescent="0.35">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row>
    <row r="763" spans="1:31" ht="15.75" customHeight="1" x14ac:dyDescent="0.35">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row>
    <row r="764" spans="1:31" ht="15.75" customHeight="1" x14ac:dyDescent="0.35">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row>
    <row r="765" spans="1:31" ht="15.75" customHeight="1" x14ac:dyDescent="0.3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row>
    <row r="766" spans="1:31" ht="15.75" customHeight="1" x14ac:dyDescent="0.35">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row>
    <row r="767" spans="1:31" ht="15.75" customHeight="1" x14ac:dyDescent="0.35">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row>
    <row r="768" spans="1:31" ht="15.75" customHeight="1" x14ac:dyDescent="0.35">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row>
    <row r="769" spans="1:31" ht="15.75" customHeight="1" x14ac:dyDescent="0.35">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row>
    <row r="770" spans="1:31" ht="15.75" customHeight="1" x14ac:dyDescent="0.35">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row>
    <row r="771" spans="1:31" ht="15.75" customHeight="1" x14ac:dyDescent="0.35">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row>
    <row r="772" spans="1:31" ht="15.75" customHeight="1" x14ac:dyDescent="0.35">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row>
    <row r="773" spans="1:31" ht="15.75" customHeight="1" x14ac:dyDescent="0.35">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row>
    <row r="774" spans="1:31" ht="15.75" customHeight="1" x14ac:dyDescent="0.35">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row>
    <row r="775" spans="1:31" ht="15.75" customHeight="1" x14ac:dyDescent="0.3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row>
    <row r="776" spans="1:31" ht="15.75" customHeight="1" x14ac:dyDescent="0.35">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row>
    <row r="777" spans="1:31" ht="15.75" customHeight="1" x14ac:dyDescent="0.35">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row>
    <row r="778" spans="1:31" ht="15.75" customHeight="1" x14ac:dyDescent="0.35">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row>
    <row r="779" spans="1:31" ht="15.75" customHeight="1" x14ac:dyDescent="0.35">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row>
    <row r="780" spans="1:31" ht="15.75" customHeight="1" x14ac:dyDescent="0.35">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row>
    <row r="781" spans="1:31" ht="15.75" customHeight="1" x14ac:dyDescent="0.35">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row>
    <row r="782" spans="1:31" ht="15.75" customHeight="1" x14ac:dyDescent="0.35">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row>
    <row r="783" spans="1:31" ht="15.75" customHeight="1" x14ac:dyDescent="0.35">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row>
    <row r="784" spans="1:31" ht="15.75" customHeight="1" x14ac:dyDescent="0.35">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row>
    <row r="785" spans="1:31" ht="15.75" customHeight="1" x14ac:dyDescent="0.3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row>
    <row r="786" spans="1:31" ht="15.75" customHeight="1" x14ac:dyDescent="0.35">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row>
    <row r="787" spans="1:31" ht="15.75" customHeight="1" x14ac:dyDescent="0.35">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row>
    <row r="788" spans="1:31" ht="15.75" customHeight="1" x14ac:dyDescent="0.35">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row>
    <row r="789" spans="1:31" ht="15.75" customHeight="1" x14ac:dyDescent="0.35">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row>
    <row r="790" spans="1:31" ht="15.75" customHeight="1" x14ac:dyDescent="0.35">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row>
    <row r="791" spans="1:31" ht="15.75" customHeight="1" x14ac:dyDescent="0.35">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row>
    <row r="792" spans="1:31" ht="15.75" customHeight="1" x14ac:dyDescent="0.35">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row>
    <row r="793" spans="1:31" ht="15.75" customHeight="1" x14ac:dyDescent="0.35">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row>
    <row r="794" spans="1:31" ht="15.75" customHeight="1" x14ac:dyDescent="0.35">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row>
    <row r="795" spans="1:31" ht="15.75" customHeight="1" x14ac:dyDescent="0.3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row>
    <row r="796" spans="1:31" ht="15.75" customHeight="1" x14ac:dyDescent="0.35">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row>
    <row r="797" spans="1:31" ht="15.75" customHeight="1" x14ac:dyDescent="0.35">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row>
    <row r="798" spans="1:31" ht="15.75" customHeight="1" x14ac:dyDescent="0.35">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row>
    <row r="799" spans="1:31" ht="15.75" customHeight="1" x14ac:dyDescent="0.35">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row>
    <row r="800" spans="1:31" ht="15.75" customHeight="1" x14ac:dyDescent="0.35">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row>
    <row r="801" spans="1:31" ht="15.75" customHeight="1" x14ac:dyDescent="0.35">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row>
    <row r="802" spans="1:31" ht="15.75" customHeight="1" x14ac:dyDescent="0.35">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row>
    <row r="803" spans="1:31" ht="15.75" customHeight="1" x14ac:dyDescent="0.35">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row>
    <row r="804" spans="1:31" ht="15.75" customHeight="1" x14ac:dyDescent="0.35">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row>
    <row r="805" spans="1:31" ht="15.75" customHeight="1" x14ac:dyDescent="0.3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row>
    <row r="806" spans="1:31" ht="15.75" customHeight="1" x14ac:dyDescent="0.35">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row>
    <row r="807" spans="1:31" ht="15.75" customHeight="1" x14ac:dyDescent="0.35">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row>
    <row r="808" spans="1:31" ht="15.75" customHeight="1" x14ac:dyDescent="0.35">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row>
    <row r="809" spans="1:31" ht="15.75" customHeight="1" x14ac:dyDescent="0.35">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row>
    <row r="810" spans="1:31" ht="15.75" customHeight="1" x14ac:dyDescent="0.35">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row>
    <row r="811" spans="1:31" ht="15.75" customHeight="1" x14ac:dyDescent="0.35">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row>
    <row r="812" spans="1:31" ht="15.75" customHeight="1" x14ac:dyDescent="0.35">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row>
    <row r="813" spans="1:31" ht="15.75" customHeight="1" x14ac:dyDescent="0.35">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row>
    <row r="814" spans="1:31" ht="15.75" customHeight="1" x14ac:dyDescent="0.35">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row>
    <row r="815" spans="1:31" ht="15.75" customHeight="1" x14ac:dyDescent="0.3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row>
    <row r="816" spans="1:31" ht="15.75" customHeight="1" x14ac:dyDescent="0.35">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row>
    <row r="817" spans="1:31" ht="15.75" customHeight="1" x14ac:dyDescent="0.35">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row>
    <row r="818" spans="1:31" ht="15.75" customHeight="1" x14ac:dyDescent="0.35">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row>
    <row r="819" spans="1:31" ht="15.75" customHeight="1" x14ac:dyDescent="0.35">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row>
    <row r="820" spans="1:31" ht="15.75" customHeight="1" x14ac:dyDescent="0.35">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row>
    <row r="821" spans="1:31" ht="15.75" customHeight="1" x14ac:dyDescent="0.35">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row>
    <row r="822" spans="1:31" ht="15.75" customHeight="1" x14ac:dyDescent="0.35">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row>
    <row r="823" spans="1:31" ht="15.75" customHeight="1" x14ac:dyDescent="0.35">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row>
    <row r="824" spans="1:31" ht="15.75" customHeight="1" x14ac:dyDescent="0.35">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row>
    <row r="825" spans="1:31" ht="15.75" customHeight="1" x14ac:dyDescent="0.3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row>
    <row r="826" spans="1:31" ht="15.75" customHeight="1" x14ac:dyDescent="0.35">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row>
    <row r="827" spans="1:31" ht="15.75" customHeight="1" x14ac:dyDescent="0.35">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row>
    <row r="828" spans="1:31" ht="15.75" customHeight="1" x14ac:dyDescent="0.35">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row>
    <row r="829" spans="1:31" ht="15.75" customHeight="1" x14ac:dyDescent="0.35">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row>
    <row r="830" spans="1:31" ht="15.75" customHeight="1" x14ac:dyDescent="0.35">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row>
    <row r="831" spans="1:31" ht="15.75" customHeight="1" x14ac:dyDescent="0.35">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row>
    <row r="832" spans="1:31" ht="15.75" customHeight="1" x14ac:dyDescent="0.35">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row>
    <row r="833" spans="1:31" ht="15.75" customHeight="1" x14ac:dyDescent="0.35">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row>
    <row r="834" spans="1:31" ht="15.75" customHeight="1" x14ac:dyDescent="0.35">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row>
    <row r="835" spans="1:31" ht="15.75" customHeight="1" x14ac:dyDescent="0.3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row>
    <row r="836" spans="1:31" ht="15.75" customHeight="1" x14ac:dyDescent="0.35">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row>
    <row r="837" spans="1:31" ht="15.75" customHeight="1" x14ac:dyDescent="0.35">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row>
    <row r="838" spans="1:31" ht="15.75" customHeight="1" x14ac:dyDescent="0.35">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row>
    <row r="839" spans="1:31" ht="15.75" customHeight="1" x14ac:dyDescent="0.35">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row>
    <row r="840" spans="1:31" ht="15.75" customHeight="1" x14ac:dyDescent="0.35">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row>
    <row r="841" spans="1:31" ht="15.75" customHeight="1" x14ac:dyDescent="0.35">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row>
    <row r="842" spans="1:31" ht="15.75" customHeight="1" x14ac:dyDescent="0.35">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row>
    <row r="843" spans="1:31" ht="15.75" customHeight="1" x14ac:dyDescent="0.35">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row>
    <row r="844" spans="1:31" ht="15.75" customHeight="1" x14ac:dyDescent="0.35">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row>
    <row r="845" spans="1:31" ht="15.75" customHeight="1" x14ac:dyDescent="0.3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row>
    <row r="846" spans="1:31" ht="15.75" customHeight="1" x14ac:dyDescent="0.35">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row>
    <row r="847" spans="1:31" ht="15.75" customHeight="1" x14ac:dyDescent="0.35">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row>
    <row r="848" spans="1:31" ht="15.75" customHeight="1" x14ac:dyDescent="0.35">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row>
    <row r="849" spans="1:31" ht="15.75" customHeight="1" x14ac:dyDescent="0.35">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row>
    <row r="850" spans="1:31" ht="15.75" customHeight="1" x14ac:dyDescent="0.35">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row>
    <row r="851" spans="1:31" ht="15.75" customHeight="1" x14ac:dyDescent="0.35">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row>
    <row r="852" spans="1:31" ht="15.75" customHeight="1" x14ac:dyDescent="0.35">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row>
    <row r="853" spans="1:31" ht="15.75" customHeight="1" x14ac:dyDescent="0.35">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row>
    <row r="854" spans="1:31" ht="15.75" customHeight="1" x14ac:dyDescent="0.35">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row>
    <row r="855" spans="1:31" ht="15.75" customHeight="1" x14ac:dyDescent="0.3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row>
    <row r="856" spans="1:31" ht="15.75" customHeight="1" x14ac:dyDescent="0.35">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row>
    <row r="857" spans="1:31" ht="15.75" customHeight="1" x14ac:dyDescent="0.35">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row>
    <row r="858" spans="1:31" ht="15.75" customHeight="1" x14ac:dyDescent="0.35">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row>
    <row r="859" spans="1:31" ht="15.75" customHeight="1" x14ac:dyDescent="0.35">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row>
    <row r="860" spans="1:31" ht="15.75" customHeight="1" x14ac:dyDescent="0.35">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row>
    <row r="861" spans="1:31" ht="15.75" customHeight="1" x14ac:dyDescent="0.35">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row>
    <row r="862" spans="1:31" ht="15.75" customHeight="1" x14ac:dyDescent="0.35">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row>
    <row r="863" spans="1:31" ht="15.75" customHeight="1" x14ac:dyDescent="0.35">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row>
    <row r="864" spans="1:31" ht="15.75" customHeight="1" x14ac:dyDescent="0.35">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row>
    <row r="865" spans="1:31" ht="15.75" customHeight="1" x14ac:dyDescent="0.3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row>
    <row r="866" spans="1:31" ht="15.75" customHeight="1" x14ac:dyDescent="0.35">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row>
    <row r="867" spans="1:31" ht="15.75" customHeight="1" x14ac:dyDescent="0.35">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row>
    <row r="868" spans="1:31" ht="15.75" customHeight="1" x14ac:dyDescent="0.35">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row>
    <row r="869" spans="1:31" ht="15.75" customHeight="1" x14ac:dyDescent="0.35">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row>
    <row r="870" spans="1:31" ht="15.75" customHeight="1" x14ac:dyDescent="0.35">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row>
    <row r="871" spans="1:31" ht="15.75" customHeight="1" x14ac:dyDescent="0.35">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row>
    <row r="872" spans="1:31" ht="15.75" customHeight="1" x14ac:dyDescent="0.35">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row>
    <row r="873" spans="1:31" ht="15.75" customHeight="1" x14ac:dyDescent="0.35">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row>
    <row r="874" spans="1:31" ht="15.75" customHeight="1" x14ac:dyDescent="0.35">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row>
    <row r="875" spans="1:31" ht="15.75" customHeight="1" x14ac:dyDescent="0.3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row>
    <row r="876" spans="1:31" ht="15.75" customHeight="1" x14ac:dyDescent="0.35">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row>
    <row r="877" spans="1:31" ht="15.75" customHeight="1" x14ac:dyDescent="0.35">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row>
    <row r="878" spans="1:31" ht="15.75" customHeight="1" x14ac:dyDescent="0.35">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row>
    <row r="879" spans="1:31" ht="15.75" customHeight="1" x14ac:dyDescent="0.35">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row>
    <row r="880" spans="1:31" ht="15.75" customHeight="1" x14ac:dyDescent="0.35">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row>
    <row r="881" spans="1:31" ht="15.75" customHeight="1" x14ac:dyDescent="0.35">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row>
    <row r="882" spans="1:31" ht="15.75" customHeight="1" x14ac:dyDescent="0.35">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row>
    <row r="883" spans="1:31" ht="15.75" customHeight="1" x14ac:dyDescent="0.35">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row>
    <row r="884" spans="1:31" ht="15.75" customHeight="1" x14ac:dyDescent="0.35">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row>
    <row r="885" spans="1:31" ht="15.75" customHeight="1" x14ac:dyDescent="0.3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row>
    <row r="886" spans="1:31" ht="15.75" customHeight="1" x14ac:dyDescent="0.35">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row>
    <row r="887" spans="1:31" ht="15.75" customHeight="1" x14ac:dyDescent="0.35">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row>
    <row r="888" spans="1:31" ht="15.75" customHeight="1" x14ac:dyDescent="0.35">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row>
    <row r="889" spans="1:31" ht="15.75" customHeight="1" x14ac:dyDescent="0.35">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row>
    <row r="890" spans="1:31" ht="15.75" customHeight="1" x14ac:dyDescent="0.35">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row>
    <row r="891" spans="1:31" ht="15.75" customHeight="1" x14ac:dyDescent="0.35">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row>
    <row r="892" spans="1:31" ht="15.75" customHeight="1" x14ac:dyDescent="0.35">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row>
    <row r="893" spans="1:31" ht="15.75" customHeight="1" x14ac:dyDescent="0.35">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row>
    <row r="894" spans="1:31" ht="15.75" customHeight="1" x14ac:dyDescent="0.35">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row>
    <row r="895" spans="1:31" ht="15.75" customHeight="1" x14ac:dyDescent="0.3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row>
    <row r="896" spans="1:31" ht="15.75" customHeight="1" x14ac:dyDescent="0.35">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row>
    <row r="897" spans="1:31" ht="15.75" customHeight="1" x14ac:dyDescent="0.35">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row>
    <row r="898" spans="1:31" ht="15.75" customHeight="1" x14ac:dyDescent="0.35">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row>
    <row r="899" spans="1:31" ht="15.75" customHeight="1" x14ac:dyDescent="0.35">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row>
    <row r="900" spans="1:31" ht="15.75" customHeight="1" x14ac:dyDescent="0.35">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row>
    <row r="901" spans="1:31" ht="15.75" customHeight="1" x14ac:dyDescent="0.35">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row>
    <row r="902" spans="1:31" ht="15.75" customHeight="1" x14ac:dyDescent="0.35">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row>
    <row r="903" spans="1:31" ht="15.75" customHeight="1" x14ac:dyDescent="0.35">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row>
    <row r="904" spans="1:31" ht="15.75" customHeight="1" x14ac:dyDescent="0.35">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row>
    <row r="905" spans="1:31" ht="15.75" customHeight="1" x14ac:dyDescent="0.3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row>
    <row r="906" spans="1:31" ht="15.75" customHeight="1" x14ac:dyDescent="0.35">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row>
    <row r="907" spans="1:31" ht="15.75" customHeight="1" x14ac:dyDescent="0.35">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row>
    <row r="908" spans="1:31" ht="15.75" customHeight="1" x14ac:dyDescent="0.35">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row>
    <row r="909" spans="1:31" ht="15.75" customHeight="1" x14ac:dyDescent="0.35">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row>
    <row r="910" spans="1:31" ht="15.75" customHeight="1" x14ac:dyDescent="0.35">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row>
    <row r="911" spans="1:31" ht="15.75" customHeight="1" x14ac:dyDescent="0.35">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row>
    <row r="912" spans="1:31" ht="15.75" customHeight="1" x14ac:dyDescent="0.35">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row>
    <row r="913" spans="1:31" ht="15.75" customHeight="1" x14ac:dyDescent="0.35">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row>
    <row r="914" spans="1:31" ht="15.75" customHeight="1" x14ac:dyDescent="0.35">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row>
    <row r="915" spans="1:31" ht="15.75" customHeight="1" x14ac:dyDescent="0.3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row>
    <row r="916" spans="1:31" ht="15.75" customHeight="1" x14ac:dyDescent="0.35">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row>
    <row r="917" spans="1:31" ht="15.75" customHeight="1" x14ac:dyDescent="0.35">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row>
    <row r="918" spans="1:31" ht="15.75" customHeight="1" x14ac:dyDescent="0.35">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row>
    <row r="919" spans="1:31" ht="15.75" customHeight="1" x14ac:dyDescent="0.35">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row>
    <row r="920" spans="1:31" ht="15.75" customHeight="1" x14ac:dyDescent="0.35">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row>
    <row r="921" spans="1:31" ht="15.75" customHeight="1" x14ac:dyDescent="0.35">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row>
    <row r="922" spans="1:31" ht="15.75" customHeight="1" x14ac:dyDescent="0.35">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row>
    <row r="923" spans="1:31" ht="15.75" customHeight="1" x14ac:dyDescent="0.35">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row>
    <row r="924" spans="1:31" ht="15.75" customHeight="1" x14ac:dyDescent="0.35">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row>
    <row r="925" spans="1:31" ht="15.75" customHeight="1" x14ac:dyDescent="0.3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row>
    <row r="926" spans="1:31" ht="15.75" customHeight="1" x14ac:dyDescent="0.35">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row>
    <row r="927" spans="1:31" ht="15.75" customHeight="1" x14ac:dyDescent="0.35">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row>
    <row r="928" spans="1:31" ht="15.75" customHeight="1" x14ac:dyDescent="0.35">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row>
    <row r="929" spans="1:31" ht="15.75" customHeight="1" x14ac:dyDescent="0.35">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row>
    <row r="930" spans="1:31" ht="15.75" customHeight="1" x14ac:dyDescent="0.35">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row>
    <row r="931" spans="1:31" ht="15.75" customHeight="1" x14ac:dyDescent="0.35">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row>
    <row r="932" spans="1:31" ht="15.75" customHeight="1" x14ac:dyDescent="0.35">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row>
    <row r="933" spans="1:31" ht="15.75" customHeight="1" x14ac:dyDescent="0.35">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row>
    <row r="934" spans="1:31" ht="15.75" customHeight="1" x14ac:dyDescent="0.35">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row>
    <row r="935" spans="1:31" ht="15.75" customHeight="1" x14ac:dyDescent="0.3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row>
    <row r="936" spans="1:31" ht="15.75" customHeight="1" x14ac:dyDescent="0.35">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row>
    <row r="937" spans="1:31" ht="15.75" customHeight="1" x14ac:dyDescent="0.35">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row>
    <row r="938" spans="1:31" ht="15.75" customHeight="1" x14ac:dyDescent="0.35">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row>
    <row r="939" spans="1:31" ht="15.75" customHeight="1" x14ac:dyDescent="0.35">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row>
    <row r="940" spans="1:31" ht="15.75" customHeight="1" x14ac:dyDescent="0.35">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row>
    <row r="941" spans="1:31" ht="15.75" customHeight="1" x14ac:dyDescent="0.35">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row>
    <row r="942" spans="1:31" ht="15.75" customHeight="1" x14ac:dyDescent="0.35">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row>
    <row r="943" spans="1:31" ht="15.75" customHeight="1" x14ac:dyDescent="0.35">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row>
    <row r="944" spans="1:31" ht="15.75" customHeight="1" x14ac:dyDescent="0.35">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row>
    <row r="945" spans="1:31" ht="15.75" customHeight="1" x14ac:dyDescent="0.3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row>
    <row r="946" spans="1:31" ht="15.75" customHeight="1" x14ac:dyDescent="0.35">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row>
    <row r="947" spans="1:31" ht="15.75" customHeight="1" x14ac:dyDescent="0.35">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row>
    <row r="948" spans="1:31" ht="15.75" customHeight="1" x14ac:dyDescent="0.35">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row>
    <row r="949" spans="1:31" ht="15.75" customHeight="1" x14ac:dyDescent="0.35">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row>
    <row r="950" spans="1:31" ht="15.75" customHeight="1" x14ac:dyDescent="0.35">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row>
    <row r="951" spans="1:31" ht="15.75" customHeight="1" x14ac:dyDescent="0.35">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row>
    <row r="952" spans="1:31" ht="15.75" customHeight="1" x14ac:dyDescent="0.35">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row>
    <row r="953" spans="1:31" ht="15.75" customHeight="1" x14ac:dyDescent="0.35">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row>
    <row r="954" spans="1:31" ht="15.75" customHeight="1" x14ac:dyDescent="0.35">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row>
    <row r="955" spans="1:31" ht="15.75" customHeight="1" x14ac:dyDescent="0.3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row>
    <row r="956" spans="1:31" ht="15.75" customHeight="1" x14ac:dyDescent="0.35">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row>
    <row r="957" spans="1:31" ht="15.75" customHeight="1" x14ac:dyDescent="0.35">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row>
    <row r="958" spans="1:31" ht="15.75" customHeight="1" x14ac:dyDescent="0.35">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row>
    <row r="959" spans="1:31" ht="15.75" customHeight="1" x14ac:dyDescent="0.35">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row>
    <row r="960" spans="1:31" ht="15.75" customHeight="1" x14ac:dyDescent="0.35">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row>
    <row r="961" spans="1:31" ht="15.75" customHeight="1" x14ac:dyDescent="0.35">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row>
    <row r="962" spans="1:31" ht="15.75" customHeight="1" x14ac:dyDescent="0.35">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row>
    <row r="963" spans="1:31" ht="15.75" customHeight="1" x14ac:dyDescent="0.35">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row>
    <row r="964" spans="1:31" ht="15.75" customHeight="1" x14ac:dyDescent="0.35">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row>
    <row r="965" spans="1:31" ht="15.75" customHeight="1" x14ac:dyDescent="0.3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row>
    <row r="966" spans="1:31" ht="15.75" customHeight="1" x14ac:dyDescent="0.35">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row>
    <row r="967" spans="1:31" ht="15.75" customHeight="1" x14ac:dyDescent="0.35">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row>
    <row r="968" spans="1:31" ht="15.75" customHeight="1" x14ac:dyDescent="0.35">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row>
    <row r="969" spans="1:31" ht="15.75" customHeight="1" x14ac:dyDescent="0.35">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row>
    <row r="970" spans="1:31" ht="15.75" customHeight="1" x14ac:dyDescent="0.35">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row>
    <row r="971" spans="1:31" ht="15.75" customHeight="1" x14ac:dyDescent="0.35">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row>
    <row r="972" spans="1:31" ht="15.75" customHeight="1" x14ac:dyDescent="0.35">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row>
    <row r="973" spans="1:31" ht="15.75" customHeight="1" x14ac:dyDescent="0.35">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row>
    <row r="974" spans="1:31" ht="15.75" customHeight="1" x14ac:dyDescent="0.35">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row>
    <row r="975" spans="1:31" ht="15.75" customHeight="1" x14ac:dyDescent="0.3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row>
    <row r="976" spans="1:31" ht="15.75" customHeight="1" x14ac:dyDescent="0.35">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row>
    <row r="977" spans="1:31" ht="15.75" customHeight="1" x14ac:dyDescent="0.35">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row>
    <row r="978" spans="1:31" ht="15.75" customHeight="1" x14ac:dyDescent="0.35">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row>
    <row r="979" spans="1:31" ht="15.75" customHeight="1" x14ac:dyDescent="0.35">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row>
    <row r="980" spans="1:31" ht="15.75" customHeight="1" x14ac:dyDescent="0.35">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row>
    <row r="981" spans="1:31" ht="15.75" customHeight="1" x14ac:dyDescent="0.35">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row>
    <row r="982" spans="1:31" ht="15.75" customHeight="1" x14ac:dyDescent="0.35">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row>
    <row r="983" spans="1:31" ht="15.75" customHeight="1" x14ac:dyDescent="0.35">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row>
    <row r="984" spans="1:31" ht="15.75" customHeight="1" x14ac:dyDescent="0.35">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row>
    <row r="985" spans="1:31" ht="15.75" customHeight="1" x14ac:dyDescent="0.3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row>
    <row r="986" spans="1:31" ht="15.75" customHeight="1" x14ac:dyDescent="0.35">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row>
    <row r="987" spans="1:31" ht="15.75" customHeight="1" x14ac:dyDescent="0.35">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row>
    <row r="988" spans="1:31" ht="15.75" customHeight="1" x14ac:dyDescent="0.35">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row>
    <row r="989" spans="1:31" ht="15.75" customHeight="1" x14ac:dyDescent="0.35">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row>
  </sheetData>
  <mergeCells count="39">
    <mergeCell ref="B1:D1"/>
    <mergeCell ref="B2:H2"/>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B26:C26"/>
    <mergeCell ref="G26:H26"/>
    <mergeCell ref="B27:C27"/>
    <mergeCell ref="G27:H27"/>
    <mergeCell ref="B28:C28"/>
    <mergeCell ref="G28:H28"/>
    <mergeCell ref="B29:C29"/>
    <mergeCell ref="G29:H29"/>
    <mergeCell ref="B33:C33"/>
    <mergeCell ref="G33:H33"/>
    <mergeCell ref="B30:C30"/>
    <mergeCell ref="G30:H30"/>
    <mergeCell ref="B31:C31"/>
    <mergeCell ref="G31:H31"/>
    <mergeCell ref="B32:C32"/>
    <mergeCell ref="G32:H32"/>
  </mergeCells>
  <pageMargins left="0.7" right="0.7" top="0.75" bottom="0.75" header="0.3" footer="0.3"/>
  <pageSetup paperSize="9" scale="5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
  <sheetViews>
    <sheetView zoomScale="80" zoomScaleNormal="80" workbookViewId="0">
      <selection activeCell="F14" sqref="F14"/>
    </sheetView>
  </sheetViews>
  <sheetFormatPr defaultColWidth="9.1796875" defaultRowHeight="13" x14ac:dyDescent="0.3"/>
  <cols>
    <col min="1" max="1" width="9.6328125" style="4" customWidth="1"/>
    <col min="2" max="2" width="29.08984375" style="4" customWidth="1"/>
    <col min="3" max="5" width="24.36328125" style="10" customWidth="1"/>
    <col min="6" max="6" width="94.36328125" style="4" customWidth="1"/>
    <col min="7" max="7" width="25" style="4" customWidth="1"/>
    <col min="8" max="8" width="16.453125" style="4" customWidth="1"/>
    <col min="9" max="9" width="11.1796875" style="4" customWidth="1"/>
    <col min="10" max="10" width="11.54296875" style="4" bestFit="1" customWidth="1"/>
    <col min="11" max="11" width="27" style="4" customWidth="1"/>
    <col min="12" max="16384" width="9.1796875" style="4"/>
  </cols>
  <sheetData>
    <row r="1" spans="1:11" ht="141.5" customHeight="1" x14ac:dyDescent="0.3">
      <c r="A1" s="1"/>
    </row>
    <row r="2" spans="1:11" ht="48.5" customHeight="1" x14ac:dyDescent="0.3">
      <c r="A2" s="245" t="s">
        <v>234</v>
      </c>
      <c r="B2" s="245"/>
      <c r="C2" s="245"/>
      <c r="D2" s="245"/>
      <c r="E2" s="245"/>
      <c r="F2" s="245"/>
    </row>
    <row r="3" spans="1:11" ht="33.5" customHeight="1" x14ac:dyDescent="0.45">
      <c r="A3" s="246" t="s">
        <v>233</v>
      </c>
      <c r="B3" s="246"/>
      <c r="C3" s="246"/>
      <c r="D3" s="246"/>
      <c r="E3" s="246"/>
      <c r="F3" s="246"/>
    </row>
    <row r="4" spans="1:11" ht="23.25" hidden="1" customHeight="1" x14ac:dyDescent="0.45">
      <c r="A4" s="79"/>
      <c r="B4" s="80">
        <v>2024</v>
      </c>
      <c r="C4" s="81">
        <f>(C13+C15+C21+C22+C23+C24+C25+C26+C27+C28+C29)</f>
        <v>6685700</v>
      </c>
      <c r="D4" s="81">
        <f>(D13+D21+D22+D23+D24+D25+D26+D27+D28+D29)</f>
        <v>6685700</v>
      </c>
      <c r="E4" s="81">
        <f>(E13+E21+E22+E23+E24+E25+E26+E27+E28+E29)</f>
        <v>8050000</v>
      </c>
      <c r="F4" s="79"/>
    </row>
    <row r="5" spans="1:11" ht="23.25" hidden="1" customHeight="1" x14ac:dyDescent="0.45">
      <c r="A5" s="79"/>
      <c r="B5" s="80">
        <v>2022</v>
      </c>
      <c r="C5" s="81">
        <v>6520300</v>
      </c>
      <c r="D5" s="81">
        <v>5879400</v>
      </c>
      <c r="E5" s="81">
        <v>5879400</v>
      </c>
      <c r="F5" s="79"/>
    </row>
    <row r="6" spans="1:11" ht="23.25" hidden="1" customHeight="1" x14ac:dyDescent="0.45">
      <c r="A6" s="79"/>
      <c r="B6" s="80" t="s">
        <v>110</v>
      </c>
      <c r="C6" s="82">
        <f t="shared" ref="C6" si="0">C4-C5</f>
        <v>165400</v>
      </c>
      <c r="D6" s="82">
        <f>D4-D5</f>
        <v>806300</v>
      </c>
      <c r="E6" s="82">
        <f>E4-E5</f>
        <v>2170600</v>
      </c>
      <c r="F6" s="79"/>
    </row>
    <row r="7" spans="1:11" ht="23.25" hidden="1" customHeight="1" x14ac:dyDescent="0.45">
      <c r="A7" s="79"/>
      <c r="B7" s="80" t="s">
        <v>111</v>
      </c>
      <c r="C7" s="81">
        <f>C4/26</f>
        <v>257142.30769230769</v>
      </c>
      <c r="D7" s="81">
        <f>D4/26</f>
        <v>257142.30769230769</v>
      </c>
      <c r="E7" s="81">
        <f>E4/26</f>
        <v>309615.38461538462</v>
      </c>
      <c r="F7" s="83"/>
    </row>
    <row r="8" spans="1:11" ht="23.25" hidden="1" customHeight="1" x14ac:dyDescent="0.45">
      <c r="A8" s="79"/>
      <c r="B8" s="81" t="s">
        <v>112</v>
      </c>
      <c r="C8" s="81">
        <f t="shared" ref="C8" si="1">C7/8</f>
        <v>32142.788461538461</v>
      </c>
      <c r="D8" s="81">
        <f>D7/8</f>
        <v>32142.788461538461</v>
      </c>
      <c r="E8" s="81">
        <f>E7/8</f>
        <v>38701.923076923078</v>
      </c>
      <c r="F8" s="83"/>
      <c r="G8" s="73" t="e">
        <f>#REF!+#REF!/208</f>
        <v>#REF!</v>
      </c>
    </row>
    <row r="9" spans="1:11" ht="23.25" hidden="1" customHeight="1" x14ac:dyDescent="0.45">
      <c r="A9" s="79"/>
      <c r="B9" s="33" t="s">
        <v>116</v>
      </c>
      <c r="C9" s="33"/>
      <c r="D9" s="247"/>
      <c r="E9" s="247"/>
      <c r="F9" s="83"/>
      <c r="G9" s="73" t="e">
        <f>#REF!/208*1.5</f>
        <v>#REF!</v>
      </c>
      <c r="H9" s="118" t="e">
        <f>#REF!-G9</f>
        <v>#REF!</v>
      </c>
    </row>
    <row r="10" spans="1:11" ht="23.25" hidden="1" customHeight="1" x14ac:dyDescent="0.45">
      <c r="A10" s="79"/>
      <c r="B10" s="33" t="s">
        <v>113</v>
      </c>
      <c r="C10" s="33"/>
      <c r="D10" s="247"/>
      <c r="E10" s="247"/>
      <c r="F10" s="83"/>
      <c r="G10" s="73"/>
    </row>
    <row r="11" spans="1:11" ht="23.25" hidden="1" customHeight="1" x14ac:dyDescent="0.45">
      <c r="A11" s="79"/>
      <c r="B11" s="33" t="s">
        <v>114</v>
      </c>
      <c r="C11" s="33"/>
      <c r="D11" s="247"/>
      <c r="E11" s="247"/>
      <c r="F11" s="83"/>
      <c r="G11" s="73"/>
    </row>
    <row r="12" spans="1:11" s="6" customFormat="1" ht="52.25" customHeight="1" x14ac:dyDescent="0.35">
      <c r="A12" s="88" t="s">
        <v>23</v>
      </c>
      <c r="B12" s="89" t="s">
        <v>24</v>
      </c>
      <c r="C12" s="69" t="s">
        <v>242</v>
      </c>
      <c r="D12" s="116" t="s">
        <v>240</v>
      </c>
      <c r="E12" s="116" t="s">
        <v>166</v>
      </c>
      <c r="F12" s="89" t="s">
        <v>25</v>
      </c>
      <c r="K12" s="84"/>
    </row>
    <row r="13" spans="1:11" s="12" customFormat="1" ht="57.65" customHeight="1" x14ac:dyDescent="0.35">
      <c r="A13" s="90">
        <v>1</v>
      </c>
      <c r="B13" s="33" t="s">
        <v>15</v>
      </c>
      <c r="C13" s="34">
        <v>6135700</v>
      </c>
      <c r="D13" s="34">
        <v>6135700</v>
      </c>
      <c r="E13" s="34">
        <v>7000000</v>
      </c>
      <c r="F13" s="20" t="s">
        <v>217</v>
      </c>
      <c r="G13" s="35"/>
      <c r="K13" s="85"/>
    </row>
    <row r="14" spans="1:11" s="12" customFormat="1" ht="57.65" customHeight="1" x14ac:dyDescent="0.35">
      <c r="A14" s="90">
        <f t="shared" ref="A14:A47" si="2">A13+1</f>
        <v>2</v>
      </c>
      <c r="B14" s="33" t="s">
        <v>1</v>
      </c>
      <c r="C14" s="34">
        <f>C13</f>
        <v>6135700</v>
      </c>
      <c r="D14" s="34">
        <f>D13</f>
        <v>6135700</v>
      </c>
      <c r="E14" s="34">
        <f>E13+E25</f>
        <v>7500000</v>
      </c>
      <c r="F14" s="13" t="s">
        <v>241</v>
      </c>
      <c r="G14" s="86"/>
      <c r="K14" s="85"/>
    </row>
    <row r="15" spans="1:11" s="12" customFormat="1" ht="49.25" customHeight="1" x14ac:dyDescent="0.35">
      <c r="A15" s="90">
        <f t="shared" si="2"/>
        <v>3</v>
      </c>
      <c r="B15" s="33" t="s">
        <v>16</v>
      </c>
      <c r="C15" s="57">
        <v>0</v>
      </c>
      <c r="D15" s="34" t="s">
        <v>10</v>
      </c>
      <c r="E15" s="34" t="s">
        <v>10</v>
      </c>
      <c r="F15" s="13" t="s">
        <v>103</v>
      </c>
      <c r="K15" s="85"/>
    </row>
    <row r="16" spans="1:11" s="12" customFormat="1" ht="46.75" customHeight="1" x14ac:dyDescent="0.35">
      <c r="A16" s="90">
        <f t="shared" si="2"/>
        <v>4</v>
      </c>
      <c r="B16" s="21" t="s">
        <v>222</v>
      </c>
      <c r="C16" s="173" t="s">
        <v>229</v>
      </c>
      <c r="D16" s="173" t="s">
        <v>229</v>
      </c>
      <c r="E16" s="173" t="s">
        <v>229</v>
      </c>
      <c r="F16" s="21" t="s">
        <v>221</v>
      </c>
      <c r="G16" s="74"/>
      <c r="K16" s="85"/>
    </row>
    <row r="17" spans="1:11" s="12" customFormat="1" ht="49.25" customHeight="1" x14ac:dyDescent="0.35">
      <c r="A17" s="90">
        <f t="shared" si="2"/>
        <v>5</v>
      </c>
      <c r="B17" s="22" t="s">
        <v>37</v>
      </c>
      <c r="C17" s="32" t="s">
        <v>38</v>
      </c>
      <c r="D17" s="32" t="s">
        <v>38</v>
      </c>
      <c r="E17" s="32" t="s">
        <v>38</v>
      </c>
      <c r="F17" s="23" t="s">
        <v>104</v>
      </c>
      <c r="K17" s="85"/>
    </row>
    <row r="18" spans="1:11" s="12" customFormat="1" ht="47.4" customHeight="1" x14ac:dyDescent="0.35">
      <c r="A18" s="90">
        <f t="shared" si="2"/>
        <v>6</v>
      </c>
      <c r="B18" s="39" t="s">
        <v>2</v>
      </c>
      <c r="C18" s="32">
        <v>2</v>
      </c>
      <c r="D18" s="32">
        <v>2</v>
      </c>
      <c r="E18" s="32">
        <v>2</v>
      </c>
      <c r="F18" s="23" t="s">
        <v>230</v>
      </c>
      <c r="K18" s="85"/>
    </row>
    <row r="19" spans="1:11" s="12" customFormat="1" ht="52.5" customHeight="1" x14ac:dyDescent="0.35">
      <c r="A19" s="90">
        <f t="shared" si="2"/>
        <v>7</v>
      </c>
      <c r="B19" s="33" t="s">
        <v>3</v>
      </c>
      <c r="C19" s="32">
        <v>3</v>
      </c>
      <c r="D19" s="32">
        <v>3</v>
      </c>
      <c r="E19" s="32">
        <v>3</v>
      </c>
      <c r="F19" s="23" t="s">
        <v>105</v>
      </c>
    </row>
    <row r="20" spans="1:11" s="12" customFormat="1" ht="47.4" customHeight="1" x14ac:dyDescent="0.35">
      <c r="A20" s="90">
        <f t="shared" si="2"/>
        <v>8</v>
      </c>
      <c r="B20" s="22" t="s">
        <v>40</v>
      </c>
      <c r="C20" s="24">
        <v>0.3</v>
      </c>
      <c r="D20" s="24">
        <v>0.3</v>
      </c>
      <c r="E20" s="24">
        <v>0.3</v>
      </c>
      <c r="F20" s="23" t="s">
        <v>41</v>
      </c>
    </row>
    <row r="21" spans="1:11" s="12" customFormat="1" ht="50.25" customHeight="1" x14ac:dyDescent="0.35">
      <c r="A21" s="90">
        <f t="shared" si="2"/>
        <v>9</v>
      </c>
      <c r="B21" s="33" t="s">
        <v>42</v>
      </c>
      <c r="C21" s="40">
        <v>0</v>
      </c>
      <c r="D21" s="40">
        <v>0</v>
      </c>
      <c r="E21" s="40">
        <v>0</v>
      </c>
      <c r="F21" s="13" t="s">
        <v>159</v>
      </c>
      <c r="G21" s="86"/>
    </row>
    <row r="22" spans="1:11" s="12" customFormat="1" ht="50.4" hidden="1" customHeight="1" x14ac:dyDescent="0.35">
      <c r="A22" s="90">
        <f t="shared" si="2"/>
        <v>10</v>
      </c>
      <c r="B22" s="41" t="s">
        <v>43</v>
      </c>
      <c r="C22" s="42">
        <v>0</v>
      </c>
      <c r="D22" s="42">
        <v>0</v>
      </c>
      <c r="E22" s="42">
        <v>0</v>
      </c>
      <c r="F22" s="15" t="s">
        <v>152</v>
      </c>
    </row>
    <row r="23" spans="1:11" s="12" customFormat="1" ht="45.65" customHeight="1" x14ac:dyDescent="0.35">
      <c r="A23" s="90">
        <f t="shared" si="2"/>
        <v>11</v>
      </c>
      <c r="B23" s="43" t="s">
        <v>151</v>
      </c>
      <c r="C23" s="42">
        <v>250000</v>
      </c>
      <c r="D23" s="42">
        <v>250000</v>
      </c>
      <c r="E23" s="42">
        <v>250000</v>
      </c>
      <c r="F23" s="44" t="s">
        <v>212</v>
      </c>
    </row>
    <row r="24" spans="1:11" s="12" customFormat="1" ht="54.65" customHeight="1" x14ac:dyDescent="0.35">
      <c r="A24" s="90">
        <f t="shared" si="2"/>
        <v>12</v>
      </c>
      <c r="B24" s="43" t="s">
        <v>219</v>
      </c>
      <c r="C24" s="42">
        <v>300000</v>
      </c>
      <c r="D24" s="42">
        <v>300000</v>
      </c>
      <c r="E24" s="42">
        <v>300000</v>
      </c>
      <c r="F24" s="44" t="s">
        <v>212</v>
      </c>
    </row>
    <row r="25" spans="1:11" s="12" customFormat="1" ht="58.25" customHeight="1" x14ac:dyDescent="0.35">
      <c r="A25" s="90">
        <f t="shared" si="2"/>
        <v>13</v>
      </c>
      <c r="B25" s="15" t="s">
        <v>211</v>
      </c>
      <c r="C25" s="42"/>
      <c r="D25" s="42"/>
      <c r="E25" s="42">
        <v>500000</v>
      </c>
      <c r="F25" s="44" t="s">
        <v>212</v>
      </c>
    </row>
    <row r="26" spans="1:11" s="12" customFormat="1" ht="29.5" hidden="1" customHeight="1" x14ac:dyDescent="0.35">
      <c r="A26" s="90">
        <f t="shared" si="2"/>
        <v>14</v>
      </c>
      <c r="B26" s="15" t="s">
        <v>107</v>
      </c>
      <c r="C26" s="42"/>
      <c r="D26" s="42"/>
      <c r="E26" s="42"/>
      <c r="F26" s="44" t="s">
        <v>106</v>
      </c>
    </row>
    <row r="27" spans="1:11" s="12" customFormat="1" ht="29.5" hidden="1" customHeight="1" x14ac:dyDescent="0.35">
      <c r="A27" s="90">
        <f t="shared" si="2"/>
        <v>15</v>
      </c>
      <c r="B27" s="15" t="s">
        <v>107</v>
      </c>
      <c r="C27" s="42"/>
      <c r="D27" s="42"/>
      <c r="E27" s="42"/>
      <c r="F27" s="44" t="s">
        <v>106</v>
      </c>
    </row>
    <row r="28" spans="1:11" s="12" customFormat="1" ht="29.5" hidden="1" customHeight="1" x14ac:dyDescent="0.35">
      <c r="A28" s="90">
        <f t="shared" si="2"/>
        <v>16</v>
      </c>
      <c r="B28" s="15" t="s">
        <v>107</v>
      </c>
      <c r="C28" s="42"/>
      <c r="D28" s="42"/>
      <c r="E28" s="42"/>
      <c r="F28" s="44" t="s">
        <v>106</v>
      </c>
    </row>
    <row r="29" spans="1:11" s="12" customFormat="1" ht="29.5" hidden="1" customHeight="1" x14ac:dyDescent="0.35">
      <c r="A29" s="90">
        <f t="shared" si="2"/>
        <v>17</v>
      </c>
      <c r="B29" s="15" t="s">
        <v>107</v>
      </c>
      <c r="C29" s="42"/>
      <c r="D29" s="42"/>
      <c r="E29" s="42"/>
      <c r="F29" s="44" t="s">
        <v>106</v>
      </c>
    </row>
    <row r="30" spans="1:11" s="12" customFormat="1" ht="66.650000000000006" customHeight="1" x14ac:dyDescent="0.35">
      <c r="A30" s="90">
        <f t="shared" si="2"/>
        <v>18</v>
      </c>
      <c r="B30" s="45" t="s">
        <v>109</v>
      </c>
      <c r="C30" s="42" t="s">
        <v>10</v>
      </c>
      <c r="D30" s="46" t="s">
        <v>96</v>
      </c>
      <c r="E30" s="46" t="s">
        <v>96</v>
      </c>
      <c r="F30" s="77" t="s">
        <v>237</v>
      </c>
    </row>
    <row r="31" spans="1:11" s="12" customFormat="1" ht="98.4" customHeight="1" x14ac:dyDescent="0.35">
      <c r="A31" s="90">
        <f t="shared" si="2"/>
        <v>19</v>
      </c>
      <c r="B31" s="47" t="s">
        <v>33</v>
      </c>
      <c r="C31" s="46" t="s">
        <v>160</v>
      </c>
      <c r="D31" s="46" t="s">
        <v>160</v>
      </c>
      <c r="E31" s="46" t="s">
        <v>160</v>
      </c>
      <c r="F31" s="13" t="s">
        <v>232</v>
      </c>
      <c r="G31" s="85"/>
      <c r="H31" s="85">
        <f>4472600-G31</f>
        <v>4472600</v>
      </c>
      <c r="I31" s="85"/>
      <c r="J31" s="48"/>
    </row>
    <row r="32" spans="1:11" s="12" customFormat="1" ht="68.400000000000006" customHeight="1" x14ac:dyDescent="0.35">
      <c r="A32" s="90">
        <f t="shared" si="2"/>
        <v>20</v>
      </c>
      <c r="B32" s="21" t="s">
        <v>47</v>
      </c>
      <c r="C32" s="42" t="s">
        <v>10</v>
      </c>
      <c r="D32" s="50" t="s">
        <v>9</v>
      </c>
      <c r="E32" s="50" t="s">
        <v>9</v>
      </c>
      <c r="F32" s="21" t="s">
        <v>60</v>
      </c>
    </row>
    <row r="33" spans="1:7" s="12" customFormat="1" ht="53.4" customHeight="1" x14ac:dyDescent="0.35">
      <c r="A33" s="90">
        <f t="shared" si="2"/>
        <v>21</v>
      </c>
      <c r="B33" s="33" t="s">
        <v>4</v>
      </c>
      <c r="C33" s="32"/>
      <c r="D33" s="32"/>
      <c r="E33" s="32"/>
      <c r="F33" s="21" t="s">
        <v>218</v>
      </c>
      <c r="G33" s="85"/>
    </row>
    <row r="34" spans="1:7" s="12" customFormat="1" ht="41" customHeight="1" x14ac:dyDescent="0.35">
      <c r="A34" s="90">
        <f t="shared" si="2"/>
        <v>22</v>
      </c>
      <c r="B34" s="108" t="s">
        <v>147</v>
      </c>
      <c r="C34" s="109"/>
      <c r="D34" s="109"/>
      <c r="E34" s="109"/>
      <c r="F34" s="110" t="s">
        <v>153</v>
      </c>
      <c r="G34" s="85"/>
    </row>
    <row r="35" spans="1:7" s="53" customFormat="1" ht="43.75" customHeight="1" x14ac:dyDescent="0.35">
      <c r="A35" s="90">
        <f t="shared" si="2"/>
        <v>23</v>
      </c>
      <c r="B35" s="51" t="s">
        <v>5</v>
      </c>
      <c r="C35" s="32"/>
      <c r="D35" s="32"/>
      <c r="E35" s="32"/>
      <c r="F35" s="52" t="s">
        <v>6</v>
      </c>
    </row>
    <row r="36" spans="1:7" s="53" customFormat="1" ht="43.75" customHeight="1" x14ac:dyDescent="0.35">
      <c r="A36" s="90">
        <f t="shared" si="2"/>
        <v>24</v>
      </c>
      <c r="B36" s="22" t="s">
        <v>48</v>
      </c>
      <c r="C36" s="32"/>
      <c r="D36" s="32"/>
      <c r="E36" s="32"/>
      <c r="F36" s="21" t="s">
        <v>49</v>
      </c>
    </row>
    <row r="37" spans="1:7" s="12" customFormat="1" ht="43.75" customHeight="1" x14ac:dyDescent="0.35">
      <c r="A37" s="90">
        <f t="shared" si="2"/>
        <v>25</v>
      </c>
      <c r="B37" s="13" t="s">
        <v>19</v>
      </c>
      <c r="C37" s="42" t="s">
        <v>160</v>
      </c>
      <c r="D37" s="42" t="s">
        <v>160</v>
      </c>
      <c r="E37" s="42" t="s">
        <v>160</v>
      </c>
      <c r="F37" s="21" t="s">
        <v>108</v>
      </c>
    </row>
    <row r="38" spans="1:7" s="12" customFormat="1" ht="43.75" customHeight="1" x14ac:dyDescent="0.35">
      <c r="A38" s="90">
        <f t="shared" si="2"/>
        <v>26</v>
      </c>
      <c r="B38" s="33" t="s">
        <v>68</v>
      </c>
      <c r="C38" s="42"/>
      <c r="D38" s="55"/>
      <c r="E38" s="55"/>
      <c r="F38" s="21" t="s">
        <v>239</v>
      </c>
    </row>
    <row r="39" spans="1:7" s="12" customFormat="1" ht="56" customHeight="1" x14ac:dyDescent="0.35">
      <c r="A39" s="90">
        <f t="shared" si="2"/>
        <v>27</v>
      </c>
      <c r="B39" s="33" t="s">
        <v>20</v>
      </c>
      <c r="C39" s="42" t="s">
        <v>10</v>
      </c>
      <c r="D39" s="55" t="s">
        <v>9</v>
      </c>
      <c r="E39" s="55" t="s">
        <v>9</v>
      </c>
      <c r="F39" s="21" t="s">
        <v>146</v>
      </c>
    </row>
    <row r="40" spans="1:7" s="12" customFormat="1" ht="48" customHeight="1" x14ac:dyDescent="0.35">
      <c r="A40" s="90">
        <f t="shared" si="2"/>
        <v>28</v>
      </c>
      <c r="B40" s="13" t="s">
        <v>7</v>
      </c>
      <c r="C40" s="57" t="s">
        <v>9</v>
      </c>
      <c r="D40" s="57" t="s">
        <v>9</v>
      </c>
      <c r="E40" s="57" t="s">
        <v>9</v>
      </c>
      <c r="F40" s="13" t="s">
        <v>115</v>
      </c>
    </row>
    <row r="41" spans="1:7" s="12" customFormat="1" ht="44" customHeight="1" x14ac:dyDescent="0.35">
      <c r="A41" s="90">
        <f t="shared" si="2"/>
        <v>29</v>
      </c>
      <c r="B41" s="33" t="s">
        <v>21</v>
      </c>
      <c r="C41" s="93" t="s">
        <v>10</v>
      </c>
      <c r="D41" s="92" t="s">
        <v>9</v>
      </c>
      <c r="E41" s="92" t="s">
        <v>9</v>
      </c>
      <c r="F41" s="20" t="s">
        <v>119</v>
      </c>
    </row>
    <row r="42" spans="1:7" s="12" customFormat="1" ht="44" customHeight="1" x14ac:dyDescent="0.35">
      <c r="A42" s="90">
        <f t="shared" si="2"/>
        <v>30</v>
      </c>
      <c r="B42" s="33" t="s">
        <v>22</v>
      </c>
      <c r="C42" s="93" t="s">
        <v>10</v>
      </c>
      <c r="D42" s="92" t="s">
        <v>9</v>
      </c>
      <c r="E42" s="92" t="s">
        <v>9</v>
      </c>
      <c r="F42" s="94" t="s">
        <v>120</v>
      </c>
      <c r="G42" s="87"/>
    </row>
    <row r="43" spans="1:7" s="12" customFormat="1" ht="42.5" customHeight="1" x14ac:dyDescent="0.35">
      <c r="A43" s="90">
        <f t="shared" si="2"/>
        <v>31</v>
      </c>
      <c r="B43" s="22" t="s">
        <v>56</v>
      </c>
      <c r="C43" s="42" t="s">
        <v>10</v>
      </c>
      <c r="D43" s="42" t="s">
        <v>10</v>
      </c>
      <c r="E43" s="42" t="s">
        <v>10</v>
      </c>
      <c r="F43" s="21" t="s">
        <v>103</v>
      </c>
      <c r="G43" s="91"/>
    </row>
    <row r="44" spans="1:7" s="12" customFormat="1" ht="40" customHeight="1" x14ac:dyDescent="0.35">
      <c r="A44" s="90">
        <f t="shared" si="2"/>
        <v>32</v>
      </c>
      <c r="B44" s="22" t="s">
        <v>57</v>
      </c>
      <c r="C44" s="42" t="s">
        <v>10</v>
      </c>
      <c r="D44" s="42" t="s">
        <v>10</v>
      </c>
      <c r="E44" s="42" t="s">
        <v>10</v>
      </c>
      <c r="F44" s="21" t="s">
        <v>103</v>
      </c>
    </row>
    <row r="45" spans="1:7" s="12" customFormat="1" ht="40" customHeight="1" x14ac:dyDescent="0.35">
      <c r="A45" s="90">
        <f t="shared" si="2"/>
        <v>33</v>
      </c>
      <c r="B45" s="22" t="s">
        <v>58</v>
      </c>
      <c r="C45" s="42" t="s">
        <v>9</v>
      </c>
      <c r="D45" s="42" t="s">
        <v>9</v>
      </c>
      <c r="E45" s="42" t="s">
        <v>9</v>
      </c>
      <c r="F45" s="21" t="s">
        <v>215</v>
      </c>
    </row>
    <row r="46" spans="1:7" s="12" customFormat="1" ht="43.75" customHeight="1" x14ac:dyDescent="0.35">
      <c r="A46" s="90">
        <f t="shared" si="2"/>
        <v>34</v>
      </c>
      <c r="B46" s="22" t="s">
        <v>59</v>
      </c>
      <c r="C46" s="42" t="s">
        <v>10</v>
      </c>
      <c r="D46" s="42" t="s">
        <v>9</v>
      </c>
      <c r="E46" s="42" t="s">
        <v>9</v>
      </c>
      <c r="F46" s="21" t="s">
        <v>216</v>
      </c>
    </row>
    <row r="47" spans="1:7" s="12" customFormat="1" ht="24.75" hidden="1" customHeight="1" x14ac:dyDescent="0.35">
      <c r="A47" s="90">
        <f t="shared" si="2"/>
        <v>35</v>
      </c>
      <c r="B47" s="22" t="s">
        <v>118</v>
      </c>
      <c r="C47" s="42" t="s">
        <v>10</v>
      </c>
      <c r="D47" s="42" t="s">
        <v>10</v>
      </c>
      <c r="E47" s="42" t="s">
        <v>10</v>
      </c>
      <c r="F47" s="21" t="s">
        <v>117</v>
      </c>
    </row>
    <row r="48" spans="1:7" ht="19" x14ac:dyDescent="0.3">
      <c r="B48" s="7"/>
    </row>
    <row r="49" spans="1:6" s="78" customFormat="1" ht="19" customHeight="1" x14ac:dyDescent="0.3">
      <c r="A49" s="244" t="s">
        <v>235</v>
      </c>
      <c r="B49" s="244"/>
      <c r="C49" s="244"/>
      <c r="D49" s="244"/>
      <c r="E49" s="244"/>
      <c r="F49" s="244"/>
    </row>
    <row r="50" spans="1:6" ht="19" x14ac:dyDescent="0.3">
      <c r="B50" s="7"/>
    </row>
    <row r="51" spans="1:6" ht="19" x14ac:dyDescent="0.3">
      <c r="B51" s="7"/>
    </row>
    <row r="52" spans="1:6" ht="19" x14ac:dyDescent="0.3">
      <c r="B52" s="7"/>
    </row>
    <row r="53" spans="1:6" ht="19" x14ac:dyDescent="0.3">
      <c r="B53" s="7"/>
    </row>
    <row r="54" spans="1:6" ht="19" x14ac:dyDescent="0.3">
      <c r="A54" s="117" t="s">
        <v>236</v>
      </c>
      <c r="B54" s="7"/>
    </row>
    <row r="55" spans="1:6" ht="19" x14ac:dyDescent="0.3">
      <c r="B55" s="7"/>
    </row>
    <row r="56" spans="1:6" s="12" customFormat="1" ht="15.5" x14ac:dyDescent="0.35">
      <c r="B56" s="112" t="s">
        <v>121</v>
      </c>
      <c r="C56" s="113"/>
      <c r="D56" s="113"/>
      <c r="E56" s="113"/>
      <c r="F56" s="12" t="s">
        <v>220</v>
      </c>
    </row>
    <row r="57" spans="1:6" s="12" customFormat="1" ht="15.5" x14ac:dyDescent="0.35">
      <c r="A57" s="114" t="s">
        <v>123</v>
      </c>
      <c r="B57" s="115" t="s">
        <v>122</v>
      </c>
      <c r="C57" s="113"/>
      <c r="D57" s="113"/>
      <c r="E57" s="113"/>
      <c r="F57" s="12" t="s">
        <v>154</v>
      </c>
    </row>
    <row r="58" spans="1:6" s="12" customFormat="1" ht="15.5" x14ac:dyDescent="0.35">
      <c r="A58" s="114" t="s">
        <v>123</v>
      </c>
      <c r="B58" s="115" t="s">
        <v>124</v>
      </c>
      <c r="C58" s="113"/>
      <c r="D58" s="113"/>
      <c r="E58" s="113"/>
    </row>
    <row r="59" spans="1:6" s="12" customFormat="1" ht="15.5" x14ac:dyDescent="0.35">
      <c r="A59" s="114" t="s">
        <v>123</v>
      </c>
      <c r="B59" s="115" t="s">
        <v>125</v>
      </c>
      <c r="C59" s="113"/>
      <c r="D59" s="113"/>
      <c r="E59" s="113"/>
    </row>
    <row r="60" spans="1:6" s="12" customFormat="1" ht="15.5" x14ac:dyDescent="0.35">
      <c r="C60" s="113"/>
      <c r="D60" s="113"/>
      <c r="E60" s="113"/>
    </row>
  </sheetData>
  <mergeCells count="6">
    <mergeCell ref="A49:F49"/>
    <mergeCell ref="A2:F2"/>
    <mergeCell ref="A3:F3"/>
    <mergeCell ref="D9:E9"/>
    <mergeCell ref="D10:E10"/>
    <mergeCell ref="D11:E11"/>
  </mergeCells>
  <pageMargins left="0.17" right="0.17" top="0.17" bottom="0.17" header="0.17" footer="0.18"/>
  <pageSetup scale="65"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D057-7330-4586-BE9F-09FF3B5DBB35}">
  <sheetPr>
    <tabColor rgb="FFFF0000"/>
    <pageSetUpPr fitToPage="1"/>
  </sheetPr>
  <dimension ref="A1:J67"/>
  <sheetViews>
    <sheetView tabSelected="1" zoomScale="70" zoomScaleNormal="70" workbookViewId="0">
      <selection activeCell="D64" sqref="D64"/>
    </sheetView>
  </sheetViews>
  <sheetFormatPr defaultColWidth="9.1796875" defaultRowHeight="13" x14ac:dyDescent="0.3"/>
  <cols>
    <col min="1" max="1" width="8.90625" style="178" customWidth="1"/>
    <col min="2" max="2" width="33.54296875" style="178" customWidth="1"/>
    <col min="3" max="4" width="40" style="179" customWidth="1"/>
    <col min="5" max="5" width="101.36328125" style="178" customWidth="1"/>
    <col min="6" max="6" width="18.1796875" style="178" hidden="1" customWidth="1"/>
    <col min="7" max="7" width="24.81640625" style="178" customWidth="1"/>
    <col min="8" max="16384" width="9.1796875" style="178"/>
  </cols>
  <sheetData>
    <row r="1" spans="1:7" ht="3.5" customHeight="1" thickBot="1" x14ac:dyDescent="0.35"/>
    <row r="2" spans="1:7" s="184" customFormat="1" ht="94.5" customHeight="1" thickBot="1" x14ac:dyDescent="0.4">
      <c r="A2" s="180"/>
      <c r="B2" s="181"/>
      <c r="C2" s="279" t="s">
        <v>286</v>
      </c>
      <c r="D2" s="280"/>
      <c r="E2" s="182" t="s">
        <v>304</v>
      </c>
      <c r="F2" s="183" t="s">
        <v>255</v>
      </c>
    </row>
    <row r="3" spans="1:7" ht="18" customHeight="1" thickBot="1" x14ac:dyDescent="0.35">
      <c r="A3" s="185"/>
      <c r="B3" s="186"/>
      <c r="C3" s="187"/>
      <c r="D3" s="187"/>
      <c r="E3" s="188"/>
    </row>
    <row r="4" spans="1:7" s="184" customFormat="1" ht="15.5" customHeight="1" thickBot="1" x14ac:dyDescent="0.4">
      <c r="A4" s="281" t="s">
        <v>306</v>
      </c>
      <c r="B4" s="281"/>
      <c r="C4" s="281"/>
      <c r="D4" s="281"/>
      <c r="E4" s="281"/>
    </row>
    <row r="5" spans="1:7" ht="19.5" hidden="1" customHeight="1" thickBot="1" x14ac:dyDescent="0.6">
      <c r="A5" s="189"/>
      <c r="B5" s="190" t="s">
        <v>256</v>
      </c>
      <c r="C5" s="191" t="e">
        <f>(C15+C17+C27+C28+C30+C31+#REF!+#REF!+#REF!+#REF!+#REF!)</f>
        <v>#VALUE!</v>
      </c>
      <c r="D5" s="191" t="e">
        <f>(D15+D17+D27+D28+D30+D31+#REF!+#REF!+#REF!+#REF!+#REF!)</f>
        <v>#VALUE!</v>
      </c>
      <c r="E5" s="189"/>
    </row>
    <row r="6" spans="1:7" ht="19.5" hidden="1" customHeight="1" x14ac:dyDescent="0.55000000000000004">
      <c r="A6" s="189"/>
      <c r="B6" s="190" t="s">
        <v>257</v>
      </c>
      <c r="C6" s="191">
        <v>6520300</v>
      </c>
      <c r="D6" s="191">
        <v>6520300</v>
      </c>
      <c r="E6" s="189"/>
    </row>
    <row r="7" spans="1:7" ht="19.5" hidden="1" customHeight="1" x14ac:dyDescent="0.55000000000000004">
      <c r="A7" s="189"/>
      <c r="B7" s="190" t="s">
        <v>110</v>
      </c>
      <c r="C7" s="192" t="e">
        <f>C5-C6</f>
        <v>#VALUE!</v>
      </c>
      <c r="D7" s="192" t="e">
        <f t="shared" ref="D7" si="0">D5-D6</f>
        <v>#VALUE!</v>
      </c>
      <c r="E7" s="189"/>
    </row>
    <row r="8" spans="1:7" ht="19.5" hidden="1" customHeight="1" x14ac:dyDescent="0.55000000000000004">
      <c r="A8" s="189"/>
      <c r="B8" s="190" t="s">
        <v>111</v>
      </c>
      <c r="C8" s="191" t="e">
        <f t="shared" ref="C8:D8" si="1">C5/26</f>
        <v>#VALUE!</v>
      </c>
      <c r="D8" s="191" t="e">
        <f t="shared" si="1"/>
        <v>#VALUE!</v>
      </c>
      <c r="E8" s="193"/>
    </row>
    <row r="9" spans="1:7" ht="19.5" hidden="1" customHeight="1" x14ac:dyDescent="0.55000000000000004">
      <c r="A9" s="189"/>
      <c r="B9" s="190" t="s">
        <v>258</v>
      </c>
      <c r="C9" s="191" t="e">
        <f t="shared" ref="C9:D9" si="2">C8/8</f>
        <v>#VALUE!</v>
      </c>
      <c r="D9" s="191" t="e">
        <f t="shared" si="2"/>
        <v>#VALUE!</v>
      </c>
      <c r="E9" s="193"/>
      <c r="F9" s="194"/>
    </row>
    <row r="10" spans="1:7" ht="19.5" hidden="1" customHeight="1" x14ac:dyDescent="0.55000000000000004">
      <c r="A10" s="189"/>
      <c r="B10" s="195" t="s">
        <v>116</v>
      </c>
      <c r="C10" s="196" t="e">
        <f>C5/(C15*23.5%+C15/26*2+C15/12+(100000*3/12)+(C5-C17)+420000)</f>
        <v>#VALUE!</v>
      </c>
      <c r="D10" s="196" t="e">
        <f t="shared" ref="D10" si="3">D5/(D15*23.5%+D15/26*2+D15/12+(100000*3/12)+(D5-D17)+420000)</f>
        <v>#VALUE!</v>
      </c>
      <c r="E10" s="193"/>
      <c r="F10" s="194"/>
    </row>
    <row r="11" spans="1:7" ht="19.5" hidden="1" customHeight="1" x14ac:dyDescent="0.55000000000000004">
      <c r="A11" s="189"/>
      <c r="B11" s="195" t="s">
        <v>113</v>
      </c>
      <c r="C11" s="196" t="e">
        <f>C5/(C15*23.5%+C15/26*2+C15/12+(100000*3/12)+(C5-C17)+420000)</f>
        <v>#VALUE!</v>
      </c>
      <c r="D11" s="196" t="e">
        <f t="shared" ref="D11" si="4">D5/(D15*23.5%+D15/26*2+D15/12+(100000*3/12)+(D5-D17)+420000)</f>
        <v>#VALUE!</v>
      </c>
      <c r="E11" s="193"/>
      <c r="F11" s="194"/>
    </row>
    <row r="12" spans="1:7" ht="13.25" hidden="1" customHeight="1" x14ac:dyDescent="0.55000000000000004">
      <c r="A12" s="197"/>
      <c r="B12" s="198" t="s">
        <v>114</v>
      </c>
      <c r="C12" s="199" t="e">
        <f>(C15*23.5%)/(C15*23.5%+C15/26*2+C15/12+(100000*3/12)+(C5-C17)+420000)</f>
        <v>#VALUE!</v>
      </c>
      <c r="D12" s="199" t="e">
        <f t="shared" ref="D12" si="5">(D15*23.5%)/(D15*23.5%+D15/26*2+D15/12+(100000*3/12)+(D5-D17)+420000)</f>
        <v>#VALUE!</v>
      </c>
      <c r="E12" s="200"/>
      <c r="F12" s="194"/>
    </row>
    <row r="13" spans="1:7" ht="31" customHeight="1" x14ac:dyDescent="0.3">
      <c r="A13" s="201"/>
      <c r="B13" s="202"/>
      <c r="C13" s="282" t="s">
        <v>303</v>
      </c>
      <c r="D13" s="283"/>
      <c r="E13" s="203"/>
      <c r="F13" s="284" t="s">
        <v>259</v>
      </c>
    </row>
    <row r="14" spans="1:7" s="208" customFormat="1" ht="50.5" customHeight="1" x14ac:dyDescent="0.35">
      <c r="A14" s="204" t="s">
        <v>23</v>
      </c>
      <c r="B14" s="205" t="s">
        <v>24</v>
      </c>
      <c r="C14" s="206" t="s">
        <v>288</v>
      </c>
      <c r="D14" s="206" t="s">
        <v>287</v>
      </c>
      <c r="E14" s="207" t="s">
        <v>25</v>
      </c>
      <c r="F14" s="285"/>
    </row>
    <row r="15" spans="1:7" s="213" customFormat="1" ht="80.5" customHeight="1" x14ac:dyDescent="0.35">
      <c r="A15" s="209">
        <v>1</v>
      </c>
      <c r="B15" s="210" t="s">
        <v>15</v>
      </c>
      <c r="C15" s="211">
        <v>7000000</v>
      </c>
      <c r="D15" s="211">
        <v>6300000</v>
      </c>
      <c r="E15" s="300" t="s">
        <v>289</v>
      </c>
      <c r="F15" s="212"/>
      <c r="G15" s="208"/>
    </row>
    <row r="16" spans="1:7" s="213" customFormat="1" ht="33.5" customHeight="1" x14ac:dyDescent="0.35">
      <c r="A16" s="209">
        <f t="shared" ref="A16:A49" si="6">A15+1</f>
        <v>2</v>
      </c>
      <c r="B16" s="210" t="s">
        <v>1</v>
      </c>
      <c r="C16" s="211">
        <f>C15+C30</f>
        <v>8000000</v>
      </c>
      <c r="D16" s="211">
        <f>D15</f>
        <v>6300000</v>
      </c>
      <c r="E16" s="224"/>
      <c r="F16" s="214"/>
      <c r="G16" s="208"/>
    </row>
    <row r="17" spans="1:7" s="213" customFormat="1" ht="46.5" customHeight="1" x14ac:dyDescent="0.35">
      <c r="A17" s="209">
        <f t="shared" si="6"/>
        <v>3</v>
      </c>
      <c r="B17" s="210" t="s">
        <v>16</v>
      </c>
      <c r="C17" s="215" t="s">
        <v>10</v>
      </c>
      <c r="D17" s="211" t="s">
        <v>10</v>
      </c>
      <c r="E17" s="224" t="s">
        <v>305</v>
      </c>
      <c r="F17" s="210" t="s">
        <v>103</v>
      </c>
      <c r="G17" s="208"/>
    </row>
    <row r="18" spans="1:7" s="213" customFormat="1" ht="44.4" customHeight="1" x14ac:dyDescent="0.35">
      <c r="A18" s="209">
        <f t="shared" si="6"/>
        <v>4</v>
      </c>
      <c r="B18" s="216" t="s">
        <v>260</v>
      </c>
      <c r="C18" s="217">
        <f>C16/208</f>
        <v>38461.538461538461</v>
      </c>
      <c r="D18" s="217">
        <f>D16/208</f>
        <v>30288.461538461539</v>
      </c>
      <c r="E18" s="301" t="s">
        <v>299</v>
      </c>
      <c r="F18" s="218"/>
      <c r="G18" s="208"/>
    </row>
    <row r="19" spans="1:7" s="213" customFormat="1" ht="47.4" customHeight="1" x14ac:dyDescent="0.35">
      <c r="A19" s="209">
        <f t="shared" si="6"/>
        <v>5</v>
      </c>
      <c r="B19" s="219" t="s">
        <v>261</v>
      </c>
      <c r="C19" s="220">
        <v>1.5</v>
      </c>
      <c r="D19" s="220">
        <v>1.5</v>
      </c>
      <c r="E19" s="302" t="s">
        <v>262</v>
      </c>
      <c r="F19" s="221"/>
      <c r="G19" s="208"/>
    </row>
    <row r="20" spans="1:7" s="213" customFormat="1" ht="45.65" customHeight="1" x14ac:dyDescent="0.35">
      <c r="A20" s="209">
        <f t="shared" si="6"/>
        <v>6</v>
      </c>
      <c r="B20" s="219" t="s">
        <v>263</v>
      </c>
      <c r="C20" s="220" t="s">
        <v>264</v>
      </c>
      <c r="D20" s="220" t="s">
        <v>264</v>
      </c>
      <c r="E20" s="302" t="s">
        <v>265</v>
      </c>
      <c r="F20" s="221"/>
      <c r="G20" s="208"/>
    </row>
    <row r="21" spans="1:7" s="213" customFormat="1" ht="44.4" customHeight="1" x14ac:dyDescent="0.35">
      <c r="A21" s="209">
        <f t="shared" si="6"/>
        <v>7</v>
      </c>
      <c r="B21" s="219" t="s">
        <v>263</v>
      </c>
      <c r="C21" s="222">
        <v>2.1</v>
      </c>
      <c r="D21" s="220">
        <v>2.1</v>
      </c>
      <c r="E21" s="302" t="s">
        <v>266</v>
      </c>
      <c r="F21" s="221"/>
      <c r="G21" s="208"/>
    </row>
    <row r="22" spans="1:7" s="213" customFormat="1" ht="75" customHeight="1" x14ac:dyDescent="0.35">
      <c r="A22" s="209">
        <f t="shared" si="6"/>
        <v>8</v>
      </c>
      <c r="B22" s="219" t="s">
        <v>267</v>
      </c>
      <c r="C22" s="222">
        <v>2</v>
      </c>
      <c r="D22" s="222">
        <v>2</v>
      </c>
      <c r="E22" s="302" t="s">
        <v>268</v>
      </c>
      <c r="F22" s="221"/>
    </row>
    <row r="23" spans="1:7" s="213" customFormat="1" ht="69.5" customHeight="1" x14ac:dyDescent="0.35">
      <c r="A23" s="209">
        <f t="shared" si="6"/>
        <v>9</v>
      </c>
      <c r="B23" s="219" t="s">
        <v>269</v>
      </c>
      <c r="C23" s="222">
        <v>2.7</v>
      </c>
      <c r="D23" s="222">
        <v>2.7</v>
      </c>
      <c r="E23" s="302" t="s">
        <v>270</v>
      </c>
      <c r="F23" s="221"/>
    </row>
    <row r="24" spans="1:7" s="213" customFormat="1" ht="45.65" customHeight="1" x14ac:dyDescent="0.35">
      <c r="A24" s="209">
        <f t="shared" si="6"/>
        <v>10</v>
      </c>
      <c r="B24" s="210" t="s">
        <v>271</v>
      </c>
      <c r="C24" s="220">
        <v>3</v>
      </c>
      <c r="D24" s="220">
        <v>3</v>
      </c>
      <c r="E24" s="302" t="s">
        <v>272</v>
      </c>
      <c r="F24" s="210"/>
    </row>
    <row r="25" spans="1:7" s="213" customFormat="1" ht="42.65" customHeight="1" x14ac:dyDescent="0.35">
      <c r="A25" s="209">
        <f t="shared" si="6"/>
        <v>11</v>
      </c>
      <c r="B25" s="210" t="s">
        <v>273</v>
      </c>
      <c r="C25" s="220">
        <v>3.9</v>
      </c>
      <c r="D25" s="220">
        <v>3.9</v>
      </c>
      <c r="E25" s="302" t="s">
        <v>274</v>
      </c>
      <c r="F25" s="210"/>
    </row>
    <row r="26" spans="1:7" s="213" customFormat="1" ht="46.75" customHeight="1" x14ac:dyDescent="0.35">
      <c r="A26" s="209">
        <f t="shared" si="6"/>
        <v>12</v>
      </c>
      <c r="B26" s="219" t="s">
        <v>275</v>
      </c>
      <c r="C26" s="223">
        <v>0.3</v>
      </c>
      <c r="D26" s="223">
        <v>0.3</v>
      </c>
      <c r="E26" s="302" t="s">
        <v>276</v>
      </c>
      <c r="F26" s="210"/>
    </row>
    <row r="27" spans="1:7" s="213" customFormat="1" ht="65" customHeight="1" x14ac:dyDescent="0.35">
      <c r="A27" s="209">
        <f t="shared" si="6"/>
        <v>13</v>
      </c>
      <c r="B27" s="224" t="s">
        <v>277</v>
      </c>
      <c r="C27" s="225">
        <v>0</v>
      </c>
      <c r="D27" s="225">
        <v>0</v>
      </c>
      <c r="E27" s="303" t="s">
        <v>300</v>
      </c>
      <c r="F27" s="210" t="s">
        <v>159</v>
      </c>
    </row>
    <row r="28" spans="1:7" s="213" customFormat="1" ht="59.5" customHeight="1" x14ac:dyDescent="0.3">
      <c r="A28" s="209">
        <f t="shared" si="6"/>
        <v>14</v>
      </c>
      <c r="B28" s="226" t="s">
        <v>151</v>
      </c>
      <c r="C28" s="227">
        <v>250000</v>
      </c>
      <c r="D28" s="227">
        <v>250000</v>
      </c>
      <c r="E28" s="304" t="s">
        <v>250</v>
      </c>
      <c r="F28" s="210"/>
      <c r="G28" s="228"/>
    </row>
    <row r="29" spans="1:7" s="213" customFormat="1" ht="55" customHeight="1" x14ac:dyDescent="0.35">
      <c r="A29" s="209">
        <f t="shared" si="6"/>
        <v>15</v>
      </c>
      <c r="B29" s="229" t="s">
        <v>219</v>
      </c>
      <c r="C29" s="227">
        <v>300000</v>
      </c>
      <c r="D29" s="227">
        <v>300000</v>
      </c>
      <c r="E29" s="304" t="s">
        <v>251</v>
      </c>
      <c r="F29" s="210"/>
      <c r="G29"/>
    </row>
    <row r="30" spans="1:7" s="213" customFormat="1" ht="56" customHeight="1" x14ac:dyDescent="0.35">
      <c r="A30" s="209">
        <f t="shared" si="6"/>
        <v>16</v>
      </c>
      <c r="B30" s="229" t="s">
        <v>211</v>
      </c>
      <c r="C30" s="227">
        <v>1000000</v>
      </c>
      <c r="D30" s="227">
        <v>0</v>
      </c>
      <c r="E30" s="304" t="s">
        <v>250</v>
      </c>
      <c r="F30" s="210"/>
      <c r="G30"/>
    </row>
    <row r="31" spans="1:7" s="213" customFormat="1" ht="63.5" customHeight="1" x14ac:dyDescent="0.35">
      <c r="A31" s="209">
        <f t="shared" si="6"/>
        <v>17</v>
      </c>
      <c r="B31" s="229" t="s">
        <v>254</v>
      </c>
      <c r="C31" s="227" t="s">
        <v>9</v>
      </c>
      <c r="D31" s="227" t="s">
        <v>10</v>
      </c>
      <c r="E31" s="304" t="s">
        <v>301</v>
      </c>
      <c r="F31" s="210"/>
      <c r="G31" s="230"/>
    </row>
    <row r="32" spans="1:7" s="213" customFormat="1" ht="109" customHeight="1" x14ac:dyDescent="0.35">
      <c r="A32" s="209">
        <f t="shared" si="6"/>
        <v>18</v>
      </c>
      <c r="B32" s="231" t="s">
        <v>109</v>
      </c>
      <c r="C32" s="227" t="s">
        <v>10</v>
      </c>
      <c r="D32" s="227" t="s">
        <v>9</v>
      </c>
      <c r="E32" s="305" t="s">
        <v>298</v>
      </c>
      <c r="F32" s="210"/>
      <c r="G32" s="230"/>
    </row>
    <row r="33" spans="1:10" s="213" customFormat="1" ht="104" customHeight="1" x14ac:dyDescent="0.35">
      <c r="A33" s="209">
        <f t="shared" si="6"/>
        <v>19</v>
      </c>
      <c r="B33" s="232" t="s">
        <v>33</v>
      </c>
      <c r="C33" s="227" t="s">
        <v>64</v>
      </c>
      <c r="D33" s="227" t="s">
        <v>64</v>
      </c>
      <c r="E33" s="216" t="s">
        <v>302</v>
      </c>
      <c r="F33" s="232"/>
      <c r="G33"/>
      <c r="J33" s="243">
        <v>46387</v>
      </c>
    </row>
    <row r="34" spans="1:10" s="213" customFormat="1" ht="71.400000000000006" customHeight="1" x14ac:dyDescent="0.35">
      <c r="A34" s="209">
        <f t="shared" si="6"/>
        <v>20</v>
      </c>
      <c r="B34" s="210" t="s">
        <v>4</v>
      </c>
      <c r="C34" s="220"/>
      <c r="D34" s="220"/>
      <c r="E34" s="216" t="s">
        <v>290</v>
      </c>
      <c r="F34" s="232"/>
      <c r="G34" s="230"/>
      <c r="J34" s="243">
        <v>46113</v>
      </c>
    </row>
    <row r="35" spans="1:10" s="213" customFormat="1" ht="43.75" customHeight="1" x14ac:dyDescent="0.35">
      <c r="A35" s="209">
        <f t="shared" si="6"/>
        <v>21</v>
      </c>
      <c r="B35" s="241" t="s">
        <v>147</v>
      </c>
      <c r="C35" s="242"/>
      <c r="D35" s="242"/>
      <c r="E35" s="306" t="s">
        <v>307</v>
      </c>
      <c r="F35" s="232"/>
      <c r="G35" s="233"/>
      <c r="J35" s="213">
        <f>J33-J34</f>
        <v>274</v>
      </c>
    </row>
    <row r="36" spans="1:10" s="235" customFormat="1" ht="25.75" customHeight="1" x14ac:dyDescent="0.35">
      <c r="A36" s="209">
        <f t="shared" si="6"/>
        <v>22</v>
      </c>
      <c r="B36" s="234" t="s">
        <v>5</v>
      </c>
      <c r="C36" s="220" t="s">
        <v>9</v>
      </c>
      <c r="D36" s="220" t="s">
        <v>9</v>
      </c>
      <c r="E36" s="307" t="s">
        <v>278</v>
      </c>
      <c r="F36" s="234"/>
      <c r="G36" s="233"/>
    </row>
    <row r="37" spans="1:10" s="235" customFormat="1" ht="29.4" customHeight="1" x14ac:dyDescent="0.35">
      <c r="A37" s="209">
        <f t="shared" si="6"/>
        <v>23</v>
      </c>
      <c r="B37" s="219" t="s">
        <v>48</v>
      </c>
      <c r="C37" s="220" t="s">
        <v>9</v>
      </c>
      <c r="D37" s="220" t="s">
        <v>9</v>
      </c>
      <c r="E37" s="299" t="s">
        <v>279</v>
      </c>
      <c r="F37" s="234"/>
      <c r="G37" s="228" t="s">
        <v>279</v>
      </c>
    </row>
    <row r="38" spans="1:10" s="213" customFormat="1" ht="64.75" customHeight="1" x14ac:dyDescent="0.35">
      <c r="A38" s="209">
        <f t="shared" si="6"/>
        <v>24</v>
      </c>
      <c r="B38" s="224" t="s">
        <v>280</v>
      </c>
      <c r="C38" s="227" t="s">
        <v>9</v>
      </c>
      <c r="D38" s="227" t="s">
        <v>9</v>
      </c>
      <c r="E38" s="216" t="s">
        <v>291</v>
      </c>
      <c r="F38" s="210"/>
      <c r="G38" s="233"/>
    </row>
    <row r="39" spans="1:10" s="213" customFormat="1" ht="52.75" customHeight="1" x14ac:dyDescent="0.35">
      <c r="A39" s="209">
        <f t="shared" si="6"/>
        <v>25</v>
      </c>
      <c r="B39" s="210" t="s">
        <v>281</v>
      </c>
      <c r="C39" s="227" t="s">
        <v>10</v>
      </c>
      <c r="D39" s="227" t="s">
        <v>10</v>
      </c>
      <c r="E39" s="224" t="s">
        <v>305</v>
      </c>
      <c r="F39" s="210"/>
      <c r="G39" s="233"/>
    </row>
    <row r="40" spans="1:10" s="213" customFormat="1" ht="33.65" customHeight="1" x14ac:dyDescent="0.35">
      <c r="A40" s="209">
        <f t="shared" si="6"/>
        <v>26</v>
      </c>
      <c r="B40" s="210" t="s">
        <v>68</v>
      </c>
      <c r="C40" s="227"/>
      <c r="D40" s="227"/>
      <c r="E40" s="216" t="s">
        <v>52</v>
      </c>
      <c r="F40" s="210"/>
      <c r="G40" s="233"/>
    </row>
    <row r="41" spans="1:10" s="213" customFormat="1" ht="60.65" customHeight="1" x14ac:dyDescent="0.35">
      <c r="A41" s="209">
        <f t="shared" si="6"/>
        <v>27</v>
      </c>
      <c r="B41" s="210" t="s">
        <v>20</v>
      </c>
      <c r="C41" s="215" t="s">
        <v>9</v>
      </c>
      <c r="D41" s="215" t="s">
        <v>9</v>
      </c>
      <c r="E41" s="308" t="s">
        <v>282</v>
      </c>
      <c r="F41" s="210"/>
      <c r="G41"/>
    </row>
    <row r="42" spans="1:10" s="213" customFormat="1" ht="54" customHeight="1" x14ac:dyDescent="0.35">
      <c r="A42" s="209">
        <f t="shared" si="6"/>
        <v>28</v>
      </c>
      <c r="B42" s="224" t="s">
        <v>7</v>
      </c>
      <c r="C42" s="215" t="s">
        <v>9</v>
      </c>
      <c r="D42" s="215" t="s">
        <v>9</v>
      </c>
      <c r="E42" s="303" t="s">
        <v>297</v>
      </c>
      <c r="F42" s="210"/>
      <c r="G42" s="230"/>
    </row>
    <row r="43" spans="1:10" s="213" customFormat="1" ht="72.650000000000006" customHeight="1" x14ac:dyDescent="0.35">
      <c r="A43" s="209">
        <f t="shared" si="6"/>
        <v>29</v>
      </c>
      <c r="B43" s="224" t="s">
        <v>283</v>
      </c>
      <c r="C43" s="215" t="s">
        <v>9</v>
      </c>
      <c r="D43" s="215" t="s">
        <v>9</v>
      </c>
      <c r="E43" s="309" t="s">
        <v>292</v>
      </c>
      <c r="F43" s="210"/>
    </row>
    <row r="44" spans="1:10" s="213" customFormat="1" ht="25.75" customHeight="1" x14ac:dyDescent="0.35">
      <c r="A44" s="209">
        <f t="shared" si="6"/>
        <v>30</v>
      </c>
      <c r="B44" s="210" t="s">
        <v>21</v>
      </c>
      <c r="C44" s="215" t="s">
        <v>9</v>
      </c>
      <c r="D44" s="215" t="s">
        <v>9</v>
      </c>
      <c r="E44" s="310" t="s">
        <v>119</v>
      </c>
      <c r="F44" s="210"/>
    </row>
    <row r="45" spans="1:10" s="213" customFormat="1" ht="35.4" customHeight="1" x14ac:dyDescent="0.35">
      <c r="A45" s="209">
        <f t="shared" si="6"/>
        <v>31</v>
      </c>
      <c r="B45" s="210" t="s">
        <v>22</v>
      </c>
      <c r="C45" s="215" t="s">
        <v>9</v>
      </c>
      <c r="D45" s="215" t="s">
        <v>9</v>
      </c>
      <c r="E45" s="236" t="s">
        <v>120</v>
      </c>
      <c r="F45" s="236"/>
    </row>
    <row r="46" spans="1:10" s="213" customFormat="1" ht="35.4" customHeight="1" x14ac:dyDescent="0.35">
      <c r="A46" s="209">
        <f t="shared" si="6"/>
        <v>32</v>
      </c>
      <c r="B46" s="219" t="s">
        <v>56</v>
      </c>
      <c r="C46" s="227" t="s">
        <v>10</v>
      </c>
      <c r="D46" s="227" t="s">
        <v>10</v>
      </c>
      <c r="E46" s="311" t="s">
        <v>10</v>
      </c>
      <c r="F46" s="237"/>
    </row>
    <row r="47" spans="1:10" s="213" customFormat="1" ht="58.25" customHeight="1" x14ac:dyDescent="0.35">
      <c r="A47" s="209">
        <f t="shared" si="6"/>
        <v>33</v>
      </c>
      <c r="B47" s="219" t="s">
        <v>57</v>
      </c>
      <c r="C47" s="227" t="s">
        <v>10</v>
      </c>
      <c r="D47" s="227" t="s">
        <v>10</v>
      </c>
      <c r="E47" s="311" t="s">
        <v>10</v>
      </c>
      <c r="F47" s="210"/>
    </row>
    <row r="48" spans="1:10" s="213" customFormat="1" ht="32.4" customHeight="1" x14ac:dyDescent="0.35">
      <c r="A48" s="209">
        <f t="shared" si="6"/>
        <v>34</v>
      </c>
      <c r="B48" s="219" t="s">
        <v>58</v>
      </c>
      <c r="C48" s="227" t="s">
        <v>9</v>
      </c>
      <c r="D48" s="227" t="s">
        <v>9</v>
      </c>
      <c r="E48" s="216" t="s">
        <v>293</v>
      </c>
      <c r="F48" s="210"/>
    </row>
    <row r="49" spans="1:6" s="213" customFormat="1" ht="32.4" customHeight="1" x14ac:dyDescent="0.35">
      <c r="A49" s="209">
        <f t="shared" si="6"/>
        <v>35</v>
      </c>
      <c r="B49" s="219" t="s">
        <v>59</v>
      </c>
      <c r="C49" s="227" t="s">
        <v>9</v>
      </c>
      <c r="D49" s="227" t="s">
        <v>9</v>
      </c>
      <c r="E49" s="216" t="s">
        <v>294</v>
      </c>
      <c r="F49" s="210"/>
    </row>
    <row r="50" spans="1:6" ht="19.5" x14ac:dyDescent="0.3">
      <c r="B50" s="238"/>
    </row>
    <row r="51" spans="1:6" s="239" customFormat="1" ht="19" customHeight="1" x14ac:dyDescent="0.35">
      <c r="A51" s="244" t="s">
        <v>284</v>
      </c>
      <c r="B51" s="244"/>
      <c r="C51" s="244"/>
      <c r="D51" s="244"/>
      <c r="E51" s="244"/>
    </row>
    <row r="52" spans="1:6" ht="26" customHeight="1" x14ac:dyDescent="0.3">
      <c r="A52" s="4"/>
      <c r="B52" s="7"/>
      <c r="C52" s="10"/>
      <c r="D52" s="10"/>
      <c r="E52" s="4"/>
    </row>
    <row r="53" spans="1:6" ht="26" customHeight="1" x14ac:dyDescent="0.3">
      <c r="A53" s="4"/>
      <c r="B53" s="7"/>
      <c r="C53" s="10"/>
      <c r="D53" s="10"/>
      <c r="E53" s="4"/>
    </row>
    <row r="54" spans="1:6" ht="26" customHeight="1" x14ac:dyDescent="0.3">
      <c r="A54" s="4"/>
      <c r="B54" s="7"/>
      <c r="C54" s="10"/>
      <c r="D54" s="10"/>
      <c r="E54" s="4"/>
    </row>
    <row r="55" spans="1:6" ht="26" customHeight="1" x14ac:dyDescent="0.3">
      <c r="A55" s="4"/>
      <c r="B55" s="7"/>
      <c r="C55" s="10"/>
      <c r="D55" s="10"/>
      <c r="E55" s="4"/>
    </row>
    <row r="56" spans="1:6" ht="15" x14ac:dyDescent="0.3">
      <c r="A56" s="244" t="s">
        <v>285</v>
      </c>
      <c r="B56" s="244"/>
      <c r="C56" s="244"/>
      <c r="D56" s="244"/>
      <c r="E56" s="244"/>
    </row>
    <row r="57" spans="1:6" ht="19" x14ac:dyDescent="0.3">
      <c r="A57" s="4"/>
      <c r="B57" s="7"/>
      <c r="C57" s="10"/>
      <c r="D57" s="10"/>
      <c r="E57" s="4"/>
    </row>
    <row r="58" spans="1:6" s="184" customFormat="1" ht="15.5" x14ac:dyDescent="0.35">
      <c r="A58" s="12"/>
      <c r="B58" s="112" t="s">
        <v>121</v>
      </c>
      <c r="C58" s="113"/>
      <c r="D58" s="113"/>
      <c r="E58" s="184" t="s">
        <v>296</v>
      </c>
    </row>
    <row r="59" spans="1:6" s="184" customFormat="1" ht="15.5" x14ac:dyDescent="0.35">
      <c r="A59" s="114" t="s">
        <v>123</v>
      </c>
      <c r="B59" s="115" t="s">
        <v>122</v>
      </c>
      <c r="C59" s="113"/>
      <c r="D59" s="113"/>
      <c r="E59" s="12" t="s">
        <v>295</v>
      </c>
    </row>
    <row r="60" spans="1:6" s="184" customFormat="1" ht="15.5" x14ac:dyDescent="0.35">
      <c r="A60" s="114" t="s">
        <v>123</v>
      </c>
      <c r="B60" s="115" t="s">
        <v>124</v>
      </c>
      <c r="C60" s="113"/>
      <c r="D60" s="113"/>
      <c r="E60" s="12"/>
    </row>
    <row r="61" spans="1:6" s="184" customFormat="1" ht="15.5" x14ac:dyDescent="0.35">
      <c r="A61" s="114" t="s">
        <v>123</v>
      </c>
      <c r="B61" s="115" t="s">
        <v>125</v>
      </c>
      <c r="C61" s="113"/>
      <c r="D61" s="113"/>
      <c r="E61" s="12"/>
    </row>
    <row r="62" spans="1:6" s="184" customFormat="1" ht="15.5" x14ac:dyDescent="0.35">
      <c r="C62" s="240"/>
      <c r="D62" s="240"/>
    </row>
    <row r="67" spans="3:5" ht="77" customHeight="1" x14ac:dyDescent="0.6">
      <c r="C67" s="278"/>
      <c r="D67" s="278"/>
      <c r="E67" s="278"/>
    </row>
  </sheetData>
  <mergeCells count="7">
    <mergeCell ref="C67:E67"/>
    <mergeCell ref="C2:D2"/>
    <mergeCell ref="A4:E4"/>
    <mergeCell ref="C13:D13"/>
    <mergeCell ref="F13:F14"/>
    <mergeCell ref="A51:E51"/>
    <mergeCell ref="A56:E56"/>
  </mergeCells>
  <pageMargins left="0.19684820647419074" right="0" top="0.23622047244094488" bottom="0.25" header="0.31496062992125984" footer="0.17"/>
  <pageSetup paperSize="9" scale="64"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1"/>
  <sheetViews>
    <sheetView topLeftCell="A7" workbookViewId="0">
      <selection activeCell="F12" sqref="F12"/>
    </sheetView>
  </sheetViews>
  <sheetFormatPr defaultRowHeight="14.5" x14ac:dyDescent="0.35"/>
  <cols>
    <col min="2" max="2" width="23" customWidth="1"/>
    <col min="3" max="3" width="27.453125" customWidth="1"/>
    <col min="4" max="4" width="9.90625" customWidth="1"/>
    <col min="5" max="5" width="9.08984375" customWidth="1"/>
  </cols>
  <sheetData>
    <row r="3" spans="2:3" ht="29" x14ac:dyDescent="0.35">
      <c r="B3" t="s">
        <v>228</v>
      </c>
      <c r="C3" s="172" t="s">
        <v>224</v>
      </c>
    </row>
    <row r="5" spans="2:3" ht="29" x14ac:dyDescent="0.35">
      <c r="B5" t="s">
        <v>15</v>
      </c>
      <c r="C5" s="172" t="s">
        <v>223</v>
      </c>
    </row>
    <row r="6" spans="2:3" x14ac:dyDescent="0.35">
      <c r="B6" t="s">
        <v>37</v>
      </c>
      <c r="C6" s="172" t="s">
        <v>225</v>
      </c>
    </row>
    <row r="7" spans="2:3" x14ac:dyDescent="0.35">
      <c r="B7" t="s">
        <v>2</v>
      </c>
      <c r="C7" s="172" t="s">
        <v>226</v>
      </c>
    </row>
    <row r="8" spans="2:3" x14ac:dyDescent="0.35">
      <c r="B8" t="s">
        <v>3</v>
      </c>
      <c r="C8" s="172" t="s">
        <v>227</v>
      </c>
    </row>
    <row r="9" spans="2:3" ht="58" x14ac:dyDescent="0.35">
      <c r="B9" t="s">
        <v>151</v>
      </c>
      <c r="C9" s="172" t="s">
        <v>212</v>
      </c>
    </row>
    <row r="10" spans="2:3" ht="58" x14ac:dyDescent="0.35">
      <c r="B10" t="s">
        <v>219</v>
      </c>
      <c r="C10" s="172" t="s">
        <v>212</v>
      </c>
    </row>
    <row r="11" spans="2:3" ht="58" x14ac:dyDescent="0.35">
      <c r="B11" t="s">
        <v>211</v>
      </c>
      <c r="C11" s="172" t="s">
        <v>212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4"/>
  <sheetViews>
    <sheetView topLeftCell="A10" zoomScale="95" zoomScaleNormal="95" workbookViewId="0">
      <selection activeCell="F8" sqref="F8"/>
    </sheetView>
  </sheetViews>
  <sheetFormatPr defaultRowHeight="14.5" x14ac:dyDescent="0.35"/>
  <cols>
    <col min="1" max="1" width="20.81640625" customWidth="1"/>
    <col min="2" max="2" width="19.453125" customWidth="1"/>
    <col min="3" max="3" width="16.81640625" customWidth="1"/>
    <col min="4" max="5" width="15.81640625" customWidth="1"/>
    <col min="6" max="6" width="17.36328125" customWidth="1"/>
    <col min="7" max="7" width="15" customWidth="1"/>
    <col min="8" max="8" width="19.1796875" customWidth="1"/>
    <col min="9" max="9" width="15" customWidth="1"/>
    <col min="10" max="10" width="16.54296875" customWidth="1"/>
  </cols>
  <sheetData>
    <row r="1" spans="1:10" ht="17.5" x14ac:dyDescent="0.35">
      <c r="A1" s="286" t="s">
        <v>148</v>
      </c>
      <c r="B1" s="286"/>
      <c r="C1" s="286"/>
      <c r="D1" s="286"/>
      <c r="E1" s="286"/>
      <c r="F1" s="286"/>
    </row>
    <row r="2" spans="1:10" x14ac:dyDescent="0.35">
      <c r="A2" s="287" t="s">
        <v>126</v>
      </c>
      <c r="B2" s="287"/>
      <c r="C2" s="287"/>
      <c r="D2" s="287"/>
      <c r="E2" s="287"/>
      <c r="F2" s="287"/>
    </row>
    <row r="3" spans="1:10" x14ac:dyDescent="0.35">
      <c r="A3" s="287" t="s">
        <v>149</v>
      </c>
      <c r="B3" s="287"/>
      <c r="C3" s="287"/>
      <c r="D3" s="287"/>
      <c r="E3" s="287"/>
      <c r="F3" s="287"/>
    </row>
    <row r="6" spans="1:10" x14ac:dyDescent="0.35">
      <c r="A6" s="291" t="s">
        <v>142</v>
      </c>
      <c r="B6" s="293" t="s">
        <v>127</v>
      </c>
      <c r="C6" s="293"/>
      <c r="D6" s="293"/>
      <c r="E6" s="293"/>
      <c r="F6" s="293"/>
      <c r="G6" s="291" t="s">
        <v>129</v>
      </c>
    </row>
    <row r="7" spans="1:10" s="95" customFormat="1" x14ac:dyDescent="0.35">
      <c r="A7" s="292"/>
      <c r="B7" s="111" t="s">
        <v>15</v>
      </c>
      <c r="C7" s="96" t="s">
        <v>128</v>
      </c>
      <c r="D7" s="111" t="s">
        <v>161</v>
      </c>
      <c r="E7" s="111" t="s">
        <v>150</v>
      </c>
      <c r="F7" s="111" t="s">
        <v>151</v>
      </c>
      <c r="G7" s="292"/>
      <c r="H7"/>
      <c r="I7"/>
      <c r="J7"/>
    </row>
    <row r="8" spans="1:10" s="106" customFormat="1" x14ac:dyDescent="0.35">
      <c r="A8" s="97"/>
      <c r="B8" s="97">
        <v>4680000</v>
      </c>
      <c r="C8" s="97">
        <v>1006200</v>
      </c>
      <c r="D8" s="97" t="e">
        <f>'CHE DO 2024'!#REF!</f>
        <v>#REF!</v>
      </c>
      <c r="E8" s="97">
        <v>500000</v>
      </c>
      <c r="F8" s="97">
        <v>500000</v>
      </c>
      <c r="G8" s="97" t="e">
        <f>SUM(B8:F8)</f>
        <v>#REF!</v>
      </c>
      <c r="H8"/>
      <c r="I8"/>
      <c r="J8"/>
    </row>
    <row r="9" spans="1:10" x14ac:dyDescent="0.35">
      <c r="A9" s="97" t="s">
        <v>143</v>
      </c>
      <c r="B9" s="97">
        <f>B8/26</f>
        <v>180000</v>
      </c>
      <c r="C9" s="97">
        <f>C8/26</f>
        <v>38700</v>
      </c>
      <c r="D9" s="97" t="e">
        <f t="shared" ref="D9:F9" si="0">D8/26</f>
        <v>#REF!</v>
      </c>
      <c r="E9" s="97">
        <f t="shared" si="0"/>
        <v>19230.76923076923</v>
      </c>
      <c r="F9" s="97">
        <f t="shared" si="0"/>
        <v>19230.76923076923</v>
      </c>
      <c r="G9" s="97" t="e">
        <f>SUM(B9:F9)</f>
        <v>#REF!</v>
      </c>
    </row>
    <row r="10" spans="1:10" x14ac:dyDescent="0.35">
      <c r="A10" s="291" t="s">
        <v>142</v>
      </c>
      <c r="B10" s="294" t="s">
        <v>0</v>
      </c>
      <c r="C10" s="295"/>
      <c r="D10" s="295"/>
      <c r="E10" s="295"/>
      <c r="F10" s="296"/>
      <c r="G10" s="291" t="s">
        <v>129</v>
      </c>
    </row>
    <row r="11" spans="1:10" ht="25" customHeight="1" x14ac:dyDescent="0.35">
      <c r="A11" s="292"/>
      <c r="B11" s="111" t="s">
        <v>15</v>
      </c>
      <c r="C11" s="96" t="s">
        <v>128</v>
      </c>
      <c r="D11" s="111" t="s">
        <v>161</v>
      </c>
      <c r="E11" s="111" t="s">
        <v>150</v>
      </c>
      <c r="F11" s="111" t="s">
        <v>151</v>
      </c>
      <c r="G11" s="292"/>
    </row>
    <row r="12" spans="1:10" x14ac:dyDescent="0.35">
      <c r="A12" s="97"/>
      <c r="B12" s="97">
        <v>4680000</v>
      </c>
      <c r="C12" s="97">
        <v>0</v>
      </c>
      <c r="D12" s="97">
        <v>500000</v>
      </c>
      <c r="E12" s="97">
        <v>500000</v>
      </c>
      <c r="F12" s="97">
        <v>500000</v>
      </c>
      <c r="G12" s="97">
        <f>SUM(B12:F12)</f>
        <v>6180000</v>
      </c>
    </row>
    <row r="13" spans="1:10" x14ac:dyDescent="0.35">
      <c r="A13" s="97" t="s">
        <v>143</v>
      </c>
      <c r="B13" s="97">
        <f>B12/26</f>
        <v>180000</v>
      </c>
      <c r="C13" s="97">
        <f>C12/26</f>
        <v>0</v>
      </c>
      <c r="D13" s="97">
        <f t="shared" ref="D13:F13" si="1">D12/26</f>
        <v>19230.76923076923</v>
      </c>
      <c r="E13" s="97">
        <f t="shared" si="1"/>
        <v>19230.76923076923</v>
      </c>
      <c r="F13" s="97">
        <f t="shared" si="1"/>
        <v>19230.76923076923</v>
      </c>
      <c r="G13" s="97">
        <f>SUM(B13:F13)</f>
        <v>237692.30769230766</v>
      </c>
    </row>
    <row r="14" spans="1:10" x14ac:dyDescent="0.35">
      <c r="A14" s="97"/>
      <c r="B14" s="97"/>
      <c r="C14" s="97"/>
      <c r="D14" s="97"/>
      <c r="E14" s="97"/>
      <c r="H14" s="107"/>
    </row>
    <row r="15" spans="1:10" x14ac:dyDescent="0.35">
      <c r="A15" s="99" t="s">
        <v>130</v>
      </c>
      <c r="B15" s="100" t="s">
        <v>131</v>
      </c>
      <c r="C15" s="100" t="s">
        <v>132</v>
      </c>
      <c r="D15" s="101" t="s">
        <v>133</v>
      </c>
      <c r="E15" s="101" t="s">
        <v>134</v>
      </c>
      <c r="F15" s="297" t="s">
        <v>127</v>
      </c>
      <c r="G15" s="288"/>
      <c r="H15" s="107"/>
    </row>
    <row r="16" spans="1:10" x14ac:dyDescent="0.35">
      <c r="A16" s="102" t="s">
        <v>135</v>
      </c>
      <c r="B16" s="97">
        <f>B9</f>
        <v>180000</v>
      </c>
      <c r="C16" s="103" t="e">
        <f>SUM($C$9:$F$9)</f>
        <v>#REF!</v>
      </c>
      <c r="D16" s="104" t="e">
        <f>B16+C16</f>
        <v>#REF!</v>
      </c>
      <c r="E16" s="104" t="e">
        <f>D16*26</f>
        <v>#REF!</v>
      </c>
      <c r="F16" s="297"/>
      <c r="G16" s="288"/>
    </row>
    <row r="17" spans="1:7" x14ac:dyDescent="0.35">
      <c r="A17" s="102" t="s">
        <v>136</v>
      </c>
      <c r="B17" s="97">
        <f>B9+B9*30%</f>
        <v>234000</v>
      </c>
      <c r="C17" s="103" t="e">
        <f t="shared" ref="C17:C19" si="2">SUM($C$9:$F$9)</f>
        <v>#REF!</v>
      </c>
      <c r="D17" s="104" t="e">
        <f t="shared" ref="D17:D19" si="3">B17+C17</f>
        <v>#REF!</v>
      </c>
      <c r="E17" s="104"/>
      <c r="F17" s="297"/>
      <c r="G17" s="288"/>
    </row>
    <row r="18" spans="1:7" x14ac:dyDescent="0.35">
      <c r="A18" s="102" t="s">
        <v>137</v>
      </c>
      <c r="B18" s="97">
        <f>B9+B9/8*1.5*4</f>
        <v>315000</v>
      </c>
      <c r="C18" s="103" t="e">
        <f t="shared" si="2"/>
        <v>#REF!</v>
      </c>
      <c r="D18" s="104" t="e">
        <f t="shared" si="3"/>
        <v>#REF!</v>
      </c>
      <c r="E18" s="104"/>
      <c r="F18" s="297"/>
      <c r="G18" s="288"/>
    </row>
    <row r="19" spans="1:7" x14ac:dyDescent="0.35">
      <c r="A19" s="102" t="s">
        <v>138</v>
      </c>
      <c r="B19" s="97">
        <f>B9+B9/8*1.5*4+B9*30%</f>
        <v>369000</v>
      </c>
      <c r="C19" s="103" t="e">
        <f t="shared" si="2"/>
        <v>#REF!</v>
      </c>
      <c r="D19" s="104" t="e">
        <f t="shared" si="3"/>
        <v>#REF!</v>
      </c>
      <c r="E19" s="104"/>
      <c r="F19" s="297"/>
      <c r="G19" s="288"/>
    </row>
    <row r="20" spans="1:7" x14ac:dyDescent="0.35">
      <c r="A20" s="102" t="s">
        <v>139</v>
      </c>
      <c r="B20" s="97">
        <f>B9/8*1.5</f>
        <v>33750</v>
      </c>
      <c r="C20" s="105"/>
      <c r="D20" s="105"/>
      <c r="E20" s="105"/>
      <c r="F20" s="297"/>
      <c r="G20" s="288"/>
    </row>
    <row r="21" spans="1:7" x14ac:dyDescent="0.35">
      <c r="A21" s="102" t="s">
        <v>140</v>
      </c>
      <c r="B21" s="97">
        <f>B9/8*2</f>
        <v>45000</v>
      </c>
      <c r="C21" s="98"/>
      <c r="D21" s="98"/>
      <c r="E21" s="98"/>
      <c r="F21" s="297"/>
      <c r="G21" s="288"/>
    </row>
    <row r="22" spans="1:7" x14ac:dyDescent="0.35">
      <c r="A22" s="102" t="s">
        <v>141</v>
      </c>
      <c r="B22" s="97">
        <f>B9/8*30%</f>
        <v>6750</v>
      </c>
      <c r="C22" s="98"/>
      <c r="D22" s="98"/>
      <c r="E22" s="98"/>
      <c r="F22" s="297"/>
      <c r="G22" s="288"/>
    </row>
    <row r="24" spans="1:7" x14ac:dyDescent="0.35">
      <c r="A24" s="99" t="s">
        <v>130</v>
      </c>
      <c r="B24" s="100" t="s">
        <v>131</v>
      </c>
      <c r="C24" s="100" t="s">
        <v>132</v>
      </c>
      <c r="D24" s="101" t="s">
        <v>133</v>
      </c>
      <c r="E24" s="101" t="s">
        <v>134</v>
      </c>
      <c r="F24" s="297" t="s">
        <v>0</v>
      </c>
      <c r="G24" s="288"/>
    </row>
    <row r="25" spans="1:7" x14ac:dyDescent="0.35">
      <c r="A25" s="102" t="s">
        <v>135</v>
      </c>
      <c r="B25" s="97">
        <f>B13</f>
        <v>180000</v>
      </c>
      <c r="C25" s="103">
        <f>SUM($C$13:$F$13)</f>
        <v>57692.307692307688</v>
      </c>
      <c r="D25" s="104">
        <f t="shared" ref="D25:D28" si="4">B25+C25</f>
        <v>237692.30769230769</v>
      </c>
      <c r="E25" s="104">
        <f>D25*26</f>
        <v>6180000</v>
      </c>
      <c r="F25" s="297"/>
      <c r="G25" s="288"/>
    </row>
    <row r="26" spans="1:7" x14ac:dyDescent="0.35">
      <c r="A26" s="102" t="s">
        <v>136</v>
      </c>
      <c r="B26" s="97">
        <f>B13+B13*30%</f>
        <v>234000</v>
      </c>
      <c r="C26" s="103">
        <f t="shared" ref="C26:C28" si="5">SUM($C$13:$F$13)</f>
        <v>57692.307692307688</v>
      </c>
      <c r="D26" s="104">
        <f t="shared" si="4"/>
        <v>291692.30769230769</v>
      </c>
      <c r="E26" s="104"/>
      <c r="F26" s="297"/>
      <c r="G26" s="288"/>
    </row>
    <row r="27" spans="1:7" x14ac:dyDescent="0.35">
      <c r="A27" s="102" t="s">
        <v>137</v>
      </c>
      <c r="B27" s="97">
        <f>B13+B13/8*1.5*4</f>
        <v>315000</v>
      </c>
      <c r="C27" s="103">
        <f t="shared" si="5"/>
        <v>57692.307692307688</v>
      </c>
      <c r="D27" s="104">
        <f t="shared" si="4"/>
        <v>372692.30769230769</v>
      </c>
      <c r="E27" s="104"/>
      <c r="F27" s="297"/>
      <c r="G27" s="288"/>
    </row>
    <row r="28" spans="1:7" x14ac:dyDescent="0.35">
      <c r="A28" s="102" t="s">
        <v>138</v>
      </c>
      <c r="B28" s="97">
        <f>B13+B13/8*1.5*4+B13*30%</f>
        <v>369000</v>
      </c>
      <c r="C28" s="103">
        <f t="shared" si="5"/>
        <v>57692.307692307688</v>
      </c>
      <c r="D28" s="104">
        <f t="shared" si="4"/>
        <v>426692.30769230769</v>
      </c>
      <c r="E28" s="104"/>
      <c r="F28" s="297"/>
      <c r="G28" s="288"/>
    </row>
    <row r="29" spans="1:7" x14ac:dyDescent="0.35">
      <c r="A29" s="102" t="s">
        <v>139</v>
      </c>
      <c r="B29" s="97">
        <f>B13/8*1.5</f>
        <v>33750</v>
      </c>
      <c r="C29" s="105"/>
      <c r="D29" s="105"/>
      <c r="E29" s="105"/>
      <c r="F29" s="297"/>
      <c r="G29" s="288"/>
    </row>
    <row r="30" spans="1:7" x14ac:dyDescent="0.35">
      <c r="A30" s="102" t="s">
        <v>140</v>
      </c>
      <c r="B30" s="97">
        <f>B13/8*2</f>
        <v>45000</v>
      </c>
      <c r="C30" s="98"/>
      <c r="D30" s="98"/>
      <c r="E30" s="98"/>
      <c r="F30" s="297"/>
      <c r="G30" s="288"/>
    </row>
    <row r="31" spans="1:7" x14ac:dyDescent="0.35">
      <c r="A31" s="102" t="s">
        <v>141</v>
      </c>
      <c r="B31" s="97">
        <f>B13/8*30%</f>
        <v>6750</v>
      </c>
      <c r="C31" s="98"/>
      <c r="D31" s="98"/>
      <c r="E31" s="98"/>
      <c r="F31" s="297"/>
      <c r="G31" s="288"/>
    </row>
    <row r="34" spans="1:7" x14ac:dyDescent="0.35">
      <c r="A34" s="289" t="s">
        <v>144</v>
      </c>
      <c r="B34" s="289"/>
      <c r="D34" s="290" t="s">
        <v>145</v>
      </c>
      <c r="E34" s="290"/>
      <c r="F34" s="290"/>
      <c r="G34" s="290"/>
    </row>
  </sheetData>
  <mergeCells count="15">
    <mergeCell ref="A1:F1"/>
    <mergeCell ref="A2:F2"/>
    <mergeCell ref="A3:F3"/>
    <mergeCell ref="G24:G31"/>
    <mergeCell ref="A34:B34"/>
    <mergeCell ref="D34:G34"/>
    <mergeCell ref="A6:A7"/>
    <mergeCell ref="B6:F6"/>
    <mergeCell ref="G6:G7"/>
    <mergeCell ref="A10:A11"/>
    <mergeCell ref="B10:F10"/>
    <mergeCell ref="G10:G11"/>
    <mergeCell ref="F15:F22"/>
    <mergeCell ref="G15:G22"/>
    <mergeCell ref="F24:F3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1"/>
  <sheetViews>
    <sheetView topLeftCell="A3" zoomScale="80" zoomScaleNormal="80" workbookViewId="0">
      <pane xSplit="5" ySplit="7" topLeftCell="F28" activePane="bottomRight" state="frozen"/>
      <selection activeCell="A3" sqref="A3"/>
      <selection pane="topRight" activeCell="F3" sqref="F3"/>
      <selection pane="bottomLeft" activeCell="A10" sqref="A10"/>
      <selection pane="bottomRight" activeCell="I14" sqref="I14"/>
    </sheetView>
  </sheetViews>
  <sheetFormatPr defaultColWidth="9.1796875" defaultRowHeight="13" x14ac:dyDescent="0.3"/>
  <cols>
    <col min="1" max="1" width="5.81640625" style="4" customWidth="1"/>
    <col min="2" max="2" width="27.81640625" style="4" customWidth="1"/>
    <col min="3" max="3" width="16.453125" style="10" customWidth="1"/>
    <col min="4" max="4" width="14.1796875" style="10" customWidth="1"/>
    <col min="5" max="5" width="14.81640625" style="10" customWidth="1"/>
    <col min="6" max="6" width="13.1796875" style="10" customWidth="1"/>
    <col min="7" max="7" width="14.453125" style="10" customWidth="1"/>
    <col min="8" max="8" width="16.81640625" style="10" customWidth="1"/>
    <col min="9" max="9" width="80.81640625" style="4" customWidth="1"/>
    <col min="10" max="10" width="28.1796875" style="4" customWidth="1"/>
    <col min="11" max="11" width="16.453125" style="4" customWidth="1"/>
    <col min="12" max="12" width="11.1796875" style="4" customWidth="1"/>
    <col min="13" max="13" width="11.54296875" style="4" bestFit="1" customWidth="1"/>
    <col min="14" max="14" width="27" style="4" customWidth="1"/>
    <col min="15" max="16384" width="9.1796875" style="4"/>
  </cols>
  <sheetData>
    <row r="1" spans="1:14" ht="47.25" customHeight="1" x14ac:dyDescent="0.3">
      <c r="A1" s="1"/>
    </row>
    <row r="2" spans="1:14" ht="32.25" customHeight="1" x14ac:dyDescent="0.3">
      <c r="A2" s="245" t="s">
        <v>39</v>
      </c>
      <c r="B2" s="245"/>
      <c r="C2" s="245"/>
      <c r="D2" s="245"/>
      <c r="E2" s="245"/>
      <c r="F2" s="245"/>
      <c r="G2" s="245"/>
      <c r="H2" s="245"/>
      <c r="I2" s="245"/>
    </row>
    <row r="3" spans="1:14" ht="23.25" customHeight="1" x14ac:dyDescent="0.45">
      <c r="A3" s="246" t="s">
        <v>97</v>
      </c>
      <c r="B3" s="246"/>
      <c r="C3" s="246"/>
      <c r="D3" s="246"/>
      <c r="E3" s="246"/>
      <c r="F3" s="246"/>
      <c r="G3" s="246"/>
      <c r="H3" s="246"/>
      <c r="I3" s="246"/>
    </row>
    <row r="4" spans="1:14" ht="23.25" hidden="1" customHeight="1" x14ac:dyDescent="0.45">
      <c r="A4" s="28"/>
      <c r="B4" s="28">
        <v>2020</v>
      </c>
      <c r="C4" s="29">
        <f>C10+C18+C19+C20</f>
        <v>5879400</v>
      </c>
      <c r="D4" s="29">
        <f>D10+D12+D18+D19+D20</f>
        <v>6520300</v>
      </c>
      <c r="E4" s="29">
        <f>E10</f>
        <v>226550</v>
      </c>
      <c r="F4" s="29">
        <f>80000</f>
        <v>80000</v>
      </c>
      <c r="G4" s="29">
        <f>G10+G18+G19+G20</f>
        <v>6579400</v>
      </c>
      <c r="H4" s="29">
        <f>H10+H18+H19+H20</f>
        <v>7079400</v>
      </c>
      <c r="I4" s="28"/>
    </row>
    <row r="5" spans="1:14" ht="23.25" hidden="1" customHeight="1" x14ac:dyDescent="0.45">
      <c r="A5" s="28"/>
      <c r="B5" s="28">
        <v>2019</v>
      </c>
      <c r="C5" s="29">
        <v>5664623.076923077</v>
      </c>
      <c r="D5" s="29">
        <v>6182700</v>
      </c>
      <c r="E5" s="29">
        <v>220000</v>
      </c>
      <c r="F5" s="29">
        <v>80000</v>
      </c>
      <c r="G5" s="29">
        <v>5664623.076923077</v>
      </c>
      <c r="H5" s="29">
        <v>5664623.076923077</v>
      </c>
      <c r="I5" s="28"/>
    </row>
    <row r="6" spans="1:14" ht="23.25" hidden="1" customHeight="1" x14ac:dyDescent="0.45">
      <c r="A6" s="28"/>
      <c r="B6" s="28" t="s">
        <v>63</v>
      </c>
      <c r="C6" s="30">
        <f>C4-C5</f>
        <v>214776.92307692301</v>
      </c>
      <c r="D6" s="30">
        <f t="shared" ref="D6" si="0">D4-D5</f>
        <v>337600</v>
      </c>
      <c r="E6" s="30">
        <f t="shared" ref="E6" si="1">E4-E5</f>
        <v>6550</v>
      </c>
      <c r="F6" s="30">
        <f t="shared" ref="F6:H6" si="2">F4-F5</f>
        <v>0</v>
      </c>
      <c r="G6" s="30">
        <f t="shared" si="2"/>
        <v>914776.92307692301</v>
      </c>
      <c r="H6" s="30">
        <f t="shared" si="2"/>
        <v>1414776.923076923</v>
      </c>
      <c r="I6" s="28"/>
    </row>
    <row r="7" spans="1:14" ht="23.25" hidden="1" customHeight="1" x14ac:dyDescent="0.45">
      <c r="A7" s="28"/>
      <c r="B7" s="28">
        <v>8</v>
      </c>
      <c r="C7" s="29">
        <f>C4/26</f>
        <v>226130.76923076922</v>
      </c>
      <c r="D7" s="29">
        <f>D4/26</f>
        <v>250780.76923076922</v>
      </c>
      <c r="E7" s="29">
        <f t="shared" ref="E7:H7" si="3">E4/26</f>
        <v>8713.461538461539</v>
      </c>
      <c r="F7" s="29">
        <f t="shared" si="3"/>
        <v>3076.9230769230771</v>
      </c>
      <c r="G7" s="29">
        <f t="shared" si="3"/>
        <v>253053.84615384616</v>
      </c>
      <c r="H7" s="29">
        <f t="shared" si="3"/>
        <v>272284.61538461538</v>
      </c>
      <c r="I7" s="72">
        <f>D12/26</f>
        <v>36550</v>
      </c>
    </row>
    <row r="8" spans="1:14" ht="23.25" hidden="1" customHeight="1" x14ac:dyDescent="0.45">
      <c r="A8" s="28"/>
      <c r="B8" s="29" t="s">
        <v>89</v>
      </c>
      <c r="C8" s="29">
        <f>C7/8</f>
        <v>28266.346153846152</v>
      </c>
      <c r="D8" s="29">
        <f t="shared" ref="D8:H8" si="4">D7/8</f>
        <v>31347.596153846152</v>
      </c>
      <c r="E8" s="29">
        <f t="shared" si="4"/>
        <v>1089.1826923076924</v>
      </c>
      <c r="F8" s="29">
        <f t="shared" si="4"/>
        <v>384.61538461538464</v>
      </c>
      <c r="G8" s="29">
        <f t="shared" si="4"/>
        <v>31631.73076923077</v>
      </c>
      <c r="H8" s="29">
        <f t="shared" si="4"/>
        <v>34035.576923076922</v>
      </c>
      <c r="I8" s="72">
        <f>D10/26</f>
        <v>170000</v>
      </c>
      <c r="J8" s="73">
        <f>I8/8</f>
        <v>21250</v>
      </c>
    </row>
    <row r="9" spans="1:14" s="6" customFormat="1" ht="81" customHeight="1" x14ac:dyDescent="0.35">
      <c r="A9" s="2" t="s">
        <v>23</v>
      </c>
      <c r="B9" s="3" t="s">
        <v>24</v>
      </c>
      <c r="C9" s="5" t="s">
        <v>0</v>
      </c>
      <c r="D9" s="9" t="s">
        <v>72</v>
      </c>
      <c r="E9" s="9" t="s">
        <v>101</v>
      </c>
      <c r="F9" s="9" t="s">
        <v>30</v>
      </c>
      <c r="G9" s="76" t="s">
        <v>80</v>
      </c>
      <c r="H9" s="76" t="s">
        <v>79</v>
      </c>
      <c r="I9" s="3" t="s">
        <v>25</v>
      </c>
      <c r="N9" s="8"/>
    </row>
    <row r="10" spans="1:14" s="12" customFormat="1" ht="43.5" customHeight="1" x14ac:dyDescent="0.35">
      <c r="A10" s="32">
        <v>1</v>
      </c>
      <c r="B10" s="33" t="s">
        <v>15</v>
      </c>
      <c r="C10" s="34">
        <v>4729400</v>
      </c>
      <c r="D10" s="34">
        <v>4420000</v>
      </c>
      <c r="E10" s="34">
        <v>226550</v>
      </c>
      <c r="F10" s="34" t="s">
        <v>31</v>
      </c>
      <c r="G10" s="34">
        <f>C10</f>
        <v>4729400</v>
      </c>
      <c r="H10" s="34">
        <f>C10</f>
        <v>4729400</v>
      </c>
      <c r="I10" s="20" t="s">
        <v>34</v>
      </c>
      <c r="J10" s="35"/>
      <c r="N10" s="36"/>
    </row>
    <row r="11" spans="1:14" s="12" customFormat="1" ht="21.75" customHeight="1" x14ac:dyDescent="0.35">
      <c r="A11" s="32">
        <f>A10+1</f>
        <v>2</v>
      </c>
      <c r="B11" s="33" t="s">
        <v>1</v>
      </c>
      <c r="C11" s="34">
        <f>C10</f>
        <v>4729400</v>
      </c>
      <c r="D11" s="34" t="s">
        <v>10</v>
      </c>
      <c r="E11" s="34" t="s">
        <v>10</v>
      </c>
      <c r="F11" s="34" t="s">
        <v>10</v>
      </c>
      <c r="G11" s="34" t="s">
        <v>10</v>
      </c>
      <c r="H11" s="34">
        <f>H10</f>
        <v>4729400</v>
      </c>
      <c r="I11" s="13"/>
      <c r="J11" s="70">
        <f>H11+4180000*5%</f>
        <v>4938400</v>
      </c>
      <c r="N11" s="36"/>
    </row>
    <row r="12" spans="1:14" s="12" customFormat="1" ht="37.5" customHeight="1" x14ac:dyDescent="0.35">
      <c r="A12" s="32">
        <f t="shared" ref="A12:A42" si="5">A11+1</f>
        <v>3</v>
      </c>
      <c r="B12" s="33" t="s">
        <v>16</v>
      </c>
      <c r="C12" s="34" t="s">
        <v>10</v>
      </c>
      <c r="D12" s="57">
        <f>D10*21.5%</f>
        <v>950300</v>
      </c>
      <c r="E12" s="34" t="s">
        <v>10</v>
      </c>
      <c r="F12" s="34" t="s">
        <v>10</v>
      </c>
      <c r="G12" s="34" t="s">
        <v>10</v>
      </c>
      <c r="H12" s="34" t="s">
        <v>10</v>
      </c>
      <c r="I12" s="13" t="s">
        <v>98</v>
      </c>
      <c r="N12" s="36"/>
    </row>
    <row r="13" spans="1:14" s="12" customFormat="1" ht="35.25" customHeight="1" x14ac:dyDescent="0.35">
      <c r="A13" s="32">
        <f t="shared" si="5"/>
        <v>4</v>
      </c>
      <c r="B13" s="21" t="s">
        <v>36</v>
      </c>
      <c r="C13" s="37">
        <f>C10/26/8</f>
        <v>22737.5</v>
      </c>
      <c r="D13" s="37">
        <f>D10/26/8</f>
        <v>21250</v>
      </c>
      <c r="E13" s="37">
        <f>E10/8</f>
        <v>28318.75</v>
      </c>
      <c r="F13" s="37"/>
      <c r="G13" s="37">
        <f>G10/26/8</f>
        <v>22737.5</v>
      </c>
      <c r="H13" s="37">
        <f>H10/26/8</f>
        <v>22737.5</v>
      </c>
      <c r="I13" s="21" t="s">
        <v>35</v>
      </c>
      <c r="J13" s="74">
        <f>J8*1.5</f>
        <v>31875</v>
      </c>
      <c r="N13" s="36"/>
    </row>
    <row r="14" spans="1:14" s="12" customFormat="1" ht="43.5" customHeight="1" x14ac:dyDescent="0.35">
      <c r="A14" s="32">
        <f t="shared" si="5"/>
        <v>5</v>
      </c>
      <c r="B14" s="22" t="s">
        <v>37</v>
      </c>
      <c r="C14" s="32" t="s">
        <v>38</v>
      </c>
      <c r="D14" s="32" t="s">
        <v>38</v>
      </c>
      <c r="E14" s="38">
        <f>4420000/208*1.5</f>
        <v>31875</v>
      </c>
      <c r="F14" s="38"/>
      <c r="G14" s="32" t="s">
        <v>38</v>
      </c>
      <c r="H14" s="32" t="s">
        <v>38</v>
      </c>
      <c r="I14" s="23" t="s">
        <v>73</v>
      </c>
      <c r="J14" s="12">
        <f>4180000/208</f>
        <v>20096.153846153848</v>
      </c>
      <c r="N14" s="36"/>
    </row>
    <row r="15" spans="1:14" s="12" customFormat="1" ht="59.25" customHeight="1" x14ac:dyDescent="0.35">
      <c r="A15" s="32">
        <f t="shared" si="5"/>
        <v>6</v>
      </c>
      <c r="B15" s="39" t="s">
        <v>2</v>
      </c>
      <c r="C15" s="32">
        <v>2</v>
      </c>
      <c r="D15" s="32">
        <v>2</v>
      </c>
      <c r="E15" s="75">
        <f>D10/208*2</f>
        <v>42500</v>
      </c>
      <c r="F15" s="32"/>
      <c r="G15" s="32">
        <v>2</v>
      </c>
      <c r="H15" s="32">
        <v>2</v>
      </c>
      <c r="I15" s="23" t="s">
        <v>75</v>
      </c>
      <c r="J15" s="12">
        <f>J14*1.5</f>
        <v>30144.230769230773</v>
      </c>
      <c r="N15" s="36"/>
    </row>
    <row r="16" spans="1:14" s="12" customFormat="1" ht="52.5" customHeight="1" x14ac:dyDescent="0.35">
      <c r="A16" s="32">
        <f t="shared" si="5"/>
        <v>7</v>
      </c>
      <c r="B16" s="33" t="s">
        <v>3</v>
      </c>
      <c r="C16" s="32">
        <v>3</v>
      </c>
      <c r="D16" s="32">
        <v>3</v>
      </c>
      <c r="E16" s="75">
        <f>D10/208*3</f>
        <v>63750</v>
      </c>
      <c r="F16" s="32"/>
      <c r="G16" s="32">
        <v>3</v>
      </c>
      <c r="H16" s="32">
        <v>3</v>
      </c>
      <c r="I16" s="23" t="s">
        <v>74</v>
      </c>
    </row>
    <row r="17" spans="1:13" s="12" customFormat="1" ht="36" customHeight="1" x14ac:dyDescent="0.35">
      <c r="A17" s="32">
        <f t="shared" si="5"/>
        <v>8</v>
      </c>
      <c r="B17" s="22" t="s">
        <v>40</v>
      </c>
      <c r="C17" s="24">
        <v>0.3</v>
      </c>
      <c r="D17" s="24">
        <v>0.3</v>
      </c>
      <c r="E17" s="24">
        <v>0.3</v>
      </c>
      <c r="F17" s="32"/>
      <c r="G17" s="32">
        <v>0.3</v>
      </c>
      <c r="H17" s="32">
        <v>0.3</v>
      </c>
      <c r="I17" s="23" t="s">
        <v>41</v>
      </c>
    </row>
    <row r="18" spans="1:13" s="12" customFormat="1" ht="50.25" customHeight="1" x14ac:dyDescent="0.35">
      <c r="A18" s="32">
        <f t="shared" si="5"/>
        <v>9</v>
      </c>
      <c r="B18" s="33" t="s">
        <v>42</v>
      </c>
      <c r="C18" s="40">
        <v>650000</v>
      </c>
      <c r="D18" s="40">
        <v>650000</v>
      </c>
      <c r="E18" s="34" t="s">
        <v>71</v>
      </c>
      <c r="F18" s="40"/>
      <c r="G18" s="40">
        <v>650000</v>
      </c>
      <c r="H18" s="40">
        <v>650000</v>
      </c>
      <c r="I18" s="13" t="s">
        <v>99</v>
      </c>
    </row>
    <row r="19" spans="1:13" s="12" customFormat="1" ht="129.75" customHeight="1" x14ac:dyDescent="0.35">
      <c r="A19" s="32">
        <f t="shared" si="5"/>
        <v>10</v>
      </c>
      <c r="B19" s="41" t="s">
        <v>43</v>
      </c>
      <c r="C19" s="42">
        <v>200000</v>
      </c>
      <c r="D19" s="42">
        <v>200000</v>
      </c>
      <c r="E19" s="42" t="s">
        <v>10</v>
      </c>
      <c r="F19" s="42"/>
      <c r="G19" s="42">
        <v>200000</v>
      </c>
      <c r="H19" s="42">
        <v>200000</v>
      </c>
      <c r="I19" s="15" t="s">
        <v>81</v>
      </c>
      <c r="J19" s="14"/>
    </row>
    <row r="20" spans="1:13" s="12" customFormat="1" ht="96" customHeight="1" x14ac:dyDescent="0.35">
      <c r="A20" s="32">
        <f t="shared" si="5"/>
        <v>11</v>
      </c>
      <c r="B20" s="43" t="s">
        <v>45</v>
      </c>
      <c r="C20" s="42">
        <v>300000</v>
      </c>
      <c r="D20" s="42">
        <v>300000</v>
      </c>
      <c r="E20" s="42" t="s">
        <v>10</v>
      </c>
      <c r="F20" s="42" t="s">
        <v>10</v>
      </c>
      <c r="G20" s="42">
        <v>1000000</v>
      </c>
      <c r="H20" s="42">
        <v>1500000</v>
      </c>
      <c r="I20" s="15" t="s">
        <v>44</v>
      </c>
      <c r="J20" s="12">
        <f>1000000-898700</f>
        <v>101300</v>
      </c>
    </row>
    <row r="21" spans="1:13" s="12" customFormat="1" ht="51" customHeight="1" x14ac:dyDescent="0.35">
      <c r="A21" s="32">
        <f t="shared" si="5"/>
        <v>12</v>
      </c>
      <c r="B21" s="43" t="s">
        <v>87</v>
      </c>
      <c r="C21" s="42" t="s">
        <v>10</v>
      </c>
      <c r="D21" s="42" t="s">
        <v>10</v>
      </c>
      <c r="E21" s="42" t="s">
        <v>10</v>
      </c>
      <c r="F21" s="42" t="s">
        <v>10</v>
      </c>
      <c r="G21" s="42">
        <v>500000</v>
      </c>
      <c r="H21" s="42">
        <v>500000</v>
      </c>
      <c r="I21" s="44" t="s">
        <v>88</v>
      </c>
      <c r="J21" s="12">
        <f>1000000-898700</f>
        <v>101300</v>
      </c>
    </row>
    <row r="22" spans="1:13" s="12" customFormat="1" ht="74.25" customHeight="1" x14ac:dyDescent="0.35">
      <c r="A22" s="32">
        <f>A20+1</f>
        <v>12</v>
      </c>
      <c r="B22" s="15" t="s">
        <v>17</v>
      </c>
      <c r="C22" s="42" t="s">
        <v>9</v>
      </c>
      <c r="D22" s="42" t="s">
        <v>10</v>
      </c>
      <c r="E22" s="42" t="s">
        <v>10</v>
      </c>
      <c r="F22" s="42" t="s">
        <v>10</v>
      </c>
      <c r="G22" s="42" t="s">
        <v>10</v>
      </c>
      <c r="H22" s="42" t="s">
        <v>10</v>
      </c>
      <c r="I22" s="44" t="s">
        <v>76</v>
      </c>
    </row>
    <row r="23" spans="1:13" s="12" customFormat="1" ht="59.25" customHeight="1" x14ac:dyDescent="0.35">
      <c r="A23" s="32">
        <f t="shared" si="5"/>
        <v>13</v>
      </c>
      <c r="B23" s="45" t="s">
        <v>13</v>
      </c>
      <c r="C23" s="46" t="s">
        <v>96</v>
      </c>
      <c r="D23" s="42" t="s">
        <v>10</v>
      </c>
      <c r="E23" s="42" t="s">
        <v>10</v>
      </c>
      <c r="F23" s="42" t="s">
        <v>10</v>
      </c>
      <c r="G23" s="42" t="s">
        <v>10</v>
      </c>
      <c r="H23" s="46" t="s">
        <v>96</v>
      </c>
      <c r="I23" s="77" t="s">
        <v>100</v>
      </c>
    </row>
    <row r="24" spans="1:13" s="12" customFormat="1" ht="41.25" customHeight="1" x14ac:dyDescent="0.35">
      <c r="A24" s="32">
        <f t="shared" si="5"/>
        <v>14</v>
      </c>
      <c r="B24" s="47" t="s">
        <v>33</v>
      </c>
      <c r="C24" s="46" t="s">
        <v>64</v>
      </c>
      <c r="D24" s="42" t="s">
        <v>10</v>
      </c>
      <c r="E24" s="42" t="s">
        <v>10</v>
      </c>
      <c r="F24" s="42" t="s">
        <v>10</v>
      </c>
      <c r="G24" s="42" t="s">
        <v>10</v>
      </c>
      <c r="H24" s="46" t="s">
        <v>64</v>
      </c>
      <c r="I24" s="13" t="s">
        <v>102</v>
      </c>
      <c r="J24" s="36">
        <f>150000*12</f>
        <v>1800000</v>
      </c>
      <c r="K24" s="36">
        <f>4472600-J24</f>
        <v>2672600</v>
      </c>
      <c r="L24" s="36"/>
      <c r="M24" s="48"/>
    </row>
    <row r="25" spans="1:13" s="12" customFormat="1" ht="47.25" customHeight="1" x14ac:dyDescent="0.35">
      <c r="A25" s="32">
        <f t="shared" si="5"/>
        <v>15</v>
      </c>
      <c r="B25" s="49" t="s">
        <v>14</v>
      </c>
      <c r="C25" s="46" t="s">
        <v>9</v>
      </c>
      <c r="D25" s="42" t="s">
        <v>10</v>
      </c>
      <c r="E25" s="42" t="s">
        <v>10</v>
      </c>
      <c r="F25" s="42" t="s">
        <v>10</v>
      </c>
      <c r="G25" s="42" t="s">
        <v>10</v>
      </c>
      <c r="H25" s="42" t="s">
        <v>10</v>
      </c>
      <c r="I25" s="71" t="s">
        <v>86</v>
      </c>
    </row>
    <row r="26" spans="1:13" s="12" customFormat="1" ht="94.5" customHeight="1" x14ac:dyDescent="0.35">
      <c r="A26" s="32">
        <f t="shared" si="5"/>
        <v>16</v>
      </c>
      <c r="B26" s="21" t="s">
        <v>47</v>
      </c>
      <c r="C26" s="50" t="s">
        <v>9</v>
      </c>
      <c r="D26" s="42" t="s">
        <v>10</v>
      </c>
      <c r="E26" s="42" t="s">
        <v>10</v>
      </c>
      <c r="F26" s="42" t="s">
        <v>10</v>
      </c>
      <c r="G26" s="42" t="s">
        <v>10</v>
      </c>
      <c r="H26" s="50" t="s">
        <v>9</v>
      </c>
      <c r="I26" s="21" t="s">
        <v>60</v>
      </c>
    </row>
    <row r="27" spans="1:13" s="12" customFormat="1" ht="208.5" customHeight="1" x14ac:dyDescent="0.35">
      <c r="A27" s="32">
        <f t="shared" si="5"/>
        <v>17</v>
      </c>
      <c r="B27" s="33" t="s">
        <v>4</v>
      </c>
      <c r="C27" s="32"/>
      <c r="D27" s="32"/>
      <c r="E27" s="32"/>
      <c r="F27" s="32"/>
      <c r="G27" s="32"/>
      <c r="H27" s="32"/>
      <c r="I27" s="31" t="s">
        <v>77</v>
      </c>
      <c r="J27" s="36"/>
    </row>
    <row r="28" spans="1:13" s="53" customFormat="1" ht="26.25" customHeight="1" x14ac:dyDescent="0.35">
      <c r="A28" s="32">
        <f t="shared" si="5"/>
        <v>18</v>
      </c>
      <c r="B28" s="51" t="s">
        <v>5</v>
      </c>
      <c r="C28" s="32"/>
      <c r="D28" s="32"/>
      <c r="E28" s="32"/>
      <c r="F28" s="32"/>
      <c r="G28" s="32"/>
      <c r="H28" s="32"/>
      <c r="I28" s="52" t="s">
        <v>6</v>
      </c>
    </row>
    <row r="29" spans="1:13" s="53" customFormat="1" ht="21" customHeight="1" x14ac:dyDescent="0.35">
      <c r="A29" s="32">
        <f t="shared" si="5"/>
        <v>19</v>
      </c>
      <c r="B29" s="22" t="s">
        <v>48</v>
      </c>
      <c r="C29" s="32"/>
      <c r="D29" s="32"/>
      <c r="E29" s="32"/>
      <c r="F29" s="32"/>
      <c r="G29" s="32"/>
      <c r="H29" s="32"/>
      <c r="I29" s="21" t="s">
        <v>49</v>
      </c>
    </row>
    <row r="30" spans="1:13" s="12" customFormat="1" ht="48" customHeight="1" x14ac:dyDescent="0.35">
      <c r="A30" s="32">
        <f t="shared" si="5"/>
        <v>20</v>
      </c>
      <c r="B30" s="13" t="s">
        <v>7</v>
      </c>
      <c r="C30" s="34" t="s">
        <v>8</v>
      </c>
      <c r="D30" s="34" t="s">
        <v>10</v>
      </c>
      <c r="E30" s="34" t="s">
        <v>10</v>
      </c>
      <c r="F30" s="34" t="s">
        <v>10</v>
      </c>
      <c r="G30" s="34" t="s">
        <v>10</v>
      </c>
      <c r="H30" s="34" t="s">
        <v>8</v>
      </c>
      <c r="I30" s="14" t="s">
        <v>78</v>
      </c>
    </row>
    <row r="31" spans="1:13" s="12" customFormat="1" ht="37.5" customHeight="1" x14ac:dyDescent="0.35">
      <c r="A31" s="32">
        <f t="shared" si="5"/>
        <v>21</v>
      </c>
      <c r="B31" s="13" t="s">
        <v>19</v>
      </c>
      <c r="C31" s="34" t="s">
        <v>9</v>
      </c>
      <c r="D31" s="42" t="s">
        <v>10</v>
      </c>
      <c r="E31" s="42" t="s">
        <v>10</v>
      </c>
      <c r="F31" s="42" t="s">
        <v>10</v>
      </c>
      <c r="G31" s="42" t="s">
        <v>10</v>
      </c>
      <c r="H31" s="34" t="s">
        <v>9</v>
      </c>
      <c r="I31" s="21" t="s">
        <v>50</v>
      </c>
    </row>
    <row r="32" spans="1:13" s="12" customFormat="1" ht="21" customHeight="1" x14ac:dyDescent="0.35">
      <c r="A32" s="32">
        <f t="shared" si="5"/>
        <v>22</v>
      </c>
      <c r="B32" s="33" t="s">
        <v>51</v>
      </c>
      <c r="C32" s="42" t="s">
        <v>10</v>
      </c>
      <c r="D32" s="42" t="s">
        <v>10</v>
      </c>
      <c r="E32" s="42" t="s">
        <v>10</v>
      </c>
      <c r="F32" s="42" t="s">
        <v>10</v>
      </c>
      <c r="G32" s="42"/>
      <c r="H32" s="42"/>
      <c r="I32" s="13"/>
    </row>
    <row r="33" spans="1:9" s="12" customFormat="1" ht="22.5" customHeight="1" x14ac:dyDescent="0.35">
      <c r="A33" s="32">
        <f t="shared" si="5"/>
        <v>23</v>
      </c>
      <c r="B33" s="33" t="s">
        <v>11</v>
      </c>
      <c r="C33" s="54">
        <v>200000</v>
      </c>
      <c r="D33" s="54">
        <v>200000</v>
      </c>
      <c r="E33" s="54" t="s">
        <v>10</v>
      </c>
      <c r="F33" s="54" t="s">
        <v>10</v>
      </c>
      <c r="G33" s="54">
        <v>200000</v>
      </c>
      <c r="H33" s="54">
        <v>200000</v>
      </c>
      <c r="I33" s="14" t="s">
        <v>12</v>
      </c>
    </row>
    <row r="34" spans="1:9" s="12" customFormat="1" ht="25.5" customHeight="1" x14ac:dyDescent="0.35">
      <c r="A34" s="32">
        <f t="shared" si="5"/>
        <v>24</v>
      </c>
      <c r="B34" s="33" t="s">
        <v>68</v>
      </c>
      <c r="C34" s="55"/>
      <c r="D34" s="42"/>
      <c r="E34" s="42"/>
      <c r="F34" s="42"/>
      <c r="G34" s="42"/>
      <c r="H34" s="42"/>
      <c r="I34" s="21" t="s">
        <v>52</v>
      </c>
    </row>
    <row r="35" spans="1:9" s="12" customFormat="1" ht="71.25" customHeight="1" x14ac:dyDescent="0.35">
      <c r="A35" s="32">
        <f t="shared" si="5"/>
        <v>25</v>
      </c>
      <c r="B35" s="33" t="s">
        <v>20</v>
      </c>
      <c r="C35" s="55" t="s">
        <v>9</v>
      </c>
      <c r="D35" s="42" t="s">
        <v>10</v>
      </c>
      <c r="E35" s="42" t="s">
        <v>10</v>
      </c>
      <c r="F35" s="42" t="s">
        <v>10</v>
      </c>
      <c r="G35" s="42" t="s">
        <v>10</v>
      </c>
      <c r="H35" s="55" t="s">
        <v>9</v>
      </c>
      <c r="I35" s="21" t="s">
        <v>90</v>
      </c>
    </row>
    <row r="36" spans="1:9" s="12" customFormat="1" ht="44.25" customHeight="1" x14ac:dyDescent="0.35">
      <c r="A36" s="32">
        <f t="shared" si="5"/>
        <v>26</v>
      </c>
      <c r="B36" s="33" t="s">
        <v>21</v>
      </c>
      <c r="C36" s="55" t="s">
        <v>9</v>
      </c>
      <c r="D36" s="42" t="s">
        <v>10</v>
      </c>
      <c r="E36" s="42" t="s">
        <v>10</v>
      </c>
      <c r="F36" s="42" t="s">
        <v>10</v>
      </c>
      <c r="G36" s="42" t="s">
        <v>10</v>
      </c>
      <c r="H36" s="55" t="s">
        <v>9</v>
      </c>
      <c r="I36" s="21" t="s">
        <v>53</v>
      </c>
    </row>
    <row r="37" spans="1:9" s="12" customFormat="1" ht="54.75" customHeight="1" x14ac:dyDescent="0.35">
      <c r="A37" s="32">
        <f t="shared" si="5"/>
        <v>27</v>
      </c>
      <c r="B37" s="33" t="s">
        <v>22</v>
      </c>
      <c r="C37" s="55" t="s">
        <v>9</v>
      </c>
      <c r="D37" s="42" t="s">
        <v>10</v>
      </c>
      <c r="E37" s="42" t="s">
        <v>10</v>
      </c>
      <c r="F37" s="42" t="s">
        <v>10</v>
      </c>
      <c r="G37" s="42" t="s">
        <v>10</v>
      </c>
      <c r="H37" s="55" t="s">
        <v>9</v>
      </c>
      <c r="I37" s="21" t="s">
        <v>54</v>
      </c>
    </row>
    <row r="38" spans="1:9" s="12" customFormat="1" ht="56.5" x14ac:dyDescent="0.35">
      <c r="A38" s="32">
        <f t="shared" si="5"/>
        <v>28</v>
      </c>
      <c r="B38" s="22" t="s">
        <v>55</v>
      </c>
      <c r="C38" s="42" t="s">
        <v>9</v>
      </c>
      <c r="D38" s="42" t="s">
        <v>10</v>
      </c>
      <c r="E38" s="42" t="s">
        <v>10</v>
      </c>
      <c r="F38" s="42" t="s">
        <v>10</v>
      </c>
      <c r="G38" s="42" t="s">
        <v>10</v>
      </c>
      <c r="H38" s="42" t="s">
        <v>9</v>
      </c>
      <c r="I38" s="56" t="s">
        <v>91</v>
      </c>
    </row>
    <row r="39" spans="1:9" s="12" customFormat="1" ht="21" customHeight="1" x14ac:dyDescent="0.35">
      <c r="A39" s="32">
        <f t="shared" si="5"/>
        <v>29</v>
      </c>
      <c r="B39" s="22" t="s">
        <v>56</v>
      </c>
      <c r="C39" s="42" t="s">
        <v>10</v>
      </c>
      <c r="D39" s="42" t="s">
        <v>10</v>
      </c>
      <c r="E39" s="42" t="s">
        <v>10</v>
      </c>
      <c r="F39" s="42" t="s">
        <v>10</v>
      </c>
      <c r="G39" s="42" t="s">
        <v>10</v>
      </c>
      <c r="H39" s="42" t="s">
        <v>10</v>
      </c>
      <c r="I39" s="21"/>
    </row>
    <row r="40" spans="1:9" s="12" customFormat="1" ht="21" customHeight="1" x14ac:dyDescent="0.35">
      <c r="A40" s="32">
        <f t="shared" si="5"/>
        <v>30</v>
      </c>
      <c r="B40" s="22" t="s">
        <v>57</v>
      </c>
      <c r="C40" s="42" t="s">
        <v>9</v>
      </c>
      <c r="D40" s="42" t="s">
        <v>10</v>
      </c>
      <c r="E40" s="42" t="s">
        <v>10</v>
      </c>
      <c r="F40" s="42" t="s">
        <v>10</v>
      </c>
      <c r="G40" s="42" t="s">
        <v>10</v>
      </c>
      <c r="H40" s="42" t="s">
        <v>9</v>
      </c>
      <c r="I40" s="21" t="s">
        <v>67</v>
      </c>
    </row>
    <row r="41" spans="1:9" s="12" customFormat="1" ht="21" customHeight="1" x14ac:dyDescent="0.35">
      <c r="A41" s="32">
        <f t="shared" si="5"/>
        <v>31</v>
      </c>
      <c r="B41" s="22" t="s">
        <v>58</v>
      </c>
      <c r="C41" s="42" t="s">
        <v>9</v>
      </c>
      <c r="D41" s="42" t="s">
        <v>9</v>
      </c>
      <c r="E41" s="42" t="s">
        <v>10</v>
      </c>
      <c r="F41" s="42" t="s">
        <v>10</v>
      </c>
      <c r="G41" s="42" t="s">
        <v>9</v>
      </c>
      <c r="H41" s="42" t="s">
        <v>9</v>
      </c>
      <c r="I41" s="21" t="s">
        <v>65</v>
      </c>
    </row>
    <row r="42" spans="1:9" s="12" customFormat="1" ht="24.75" customHeight="1" x14ac:dyDescent="0.35">
      <c r="A42" s="61">
        <f t="shared" si="5"/>
        <v>32</v>
      </c>
      <c r="B42" s="62" t="s">
        <v>59</v>
      </c>
      <c r="C42" s="63" t="s">
        <v>9</v>
      </c>
      <c r="D42" s="63" t="s">
        <v>9</v>
      </c>
      <c r="E42" s="63" t="s">
        <v>10</v>
      </c>
      <c r="F42" s="63" t="s">
        <v>10</v>
      </c>
      <c r="G42" s="63" t="s">
        <v>9</v>
      </c>
      <c r="H42" s="63" t="s">
        <v>9</v>
      </c>
      <c r="I42" s="64" t="s">
        <v>66</v>
      </c>
    </row>
    <row r="43" spans="1:9" s="65" customFormat="1" ht="21.75" customHeight="1" x14ac:dyDescent="0.35">
      <c r="A43" s="66"/>
      <c r="B43" s="67"/>
      <c r="C43" s="68"/>
      <c r="D43" s="59"/>
      <c r="E43" s="59"/>
      <c r="F43" s="59"/>
      <c r="G43" s="59"/>
      <c r="H43" s="59"/>
      <c r="I43" s="60"/>
    </row>
    <row r="44" spans="1:9" s="25" customFormat="1" ht="14" x14ac:dyDescent="0.3">
      <c r="B44" s="25" t="s">
        <v>61</v>
      </c>
      <c r="C44" s="58" t="s">
        <v>62</v>
      </c>
      <c r="D44" s="298" t="s">
        <v>84</v>
      </c>
      <c r="E44" s="298"/>
      <c r="F44" s="25" t="s">
        <v>82</v>
      </c>
    </row>
    <row r="45" spans="1:9" x14ac:dyDescent="0.3">
      <c r="C45" s="26"/>
      <c r="D45" s="27"/>
    </row>
    <row r="46" spans="1:9" x14ac:dyDescent="0.3">
      <c r="C46" s="27"/>
      <c r="D46" s="27"/>
    </row>
    <row r="47" spans="1:9" x14ac:dyDescent="0.3">
      <c r="C47" s="17">
        <f>C10-4012500</f>
        <v>716900</v>
      </c>
      <c r="D47" s="18"/>
      <c r="E47" s="11"/>
      <c r="F47" s="11"/>
      <c r="G47" s="11"/>
      <c r="H47" s="11"/>
    </row>
    <row r="48" spans="1:9" x14ac:dyDescent="0.3">
      <c r="C48" s="17">
        <f>(4258000-4012500)/26</f>
        <v>9442.3076923076915</v>
      </c>
      <c r="D48" s="16" t="s">
        <v>26</v>
      </c>
    </row>
    <row r="49" spans="1:9" x14ac:dyDescent="0.3">
      <c r="C49" s="19">
        <f>SUM(C47:C48)</f>
        <v>726342.30769230775</v>
      </c>
      <c r="D49" s="16"/>
    </row>
    <row r="50" spans="1:9" s="12" customFormat="1" ht="19.5" customHeight="1" x14ac:dyDescent="0.35">
      <c r="A50" s="244" t="s">
        <v>83</v>
      </c>
      <c r="B50" s="244"/>
      <c r="C50" s="244"/>
      <c r="D50" s="244"/>
      <c r="E50" s="244"/>
      <c r="F50" s="244" t="s">
        <v>85</v>
      </c>
      <c r="G50" s="244"/>
      <c r="H50" s="244"/>
      <c r="I50" s="244"/>
    </row>
    <row r="51" spans="1:9" ht="19" x14ac:dyDescent="0.3">
      <c r="B51" s="7"/>
    </row>
    <row r="52" spans="1:9" ht="19" x14ac:dyDescent="0.3">
      <c r="B52" s="7"/>
    </row>
    <row r="53" spans="1:9" ht="19" x14ac:dyDescent="0.3">
      <c r="B53" s="7"/>
      <c r="G53" s="11"/>
      <c r="H53" s="11"/>
    </row>
    <row r="54" spans="1:9" ht="19" x14ac:dyDescent="0.3">
      <c r="B54" s="7"/>
    </row>
    <row r="55" spans="1:9" ht="19" x14ac:dyDescent="0.3">
      <c r="B55" s="7"/>
    </row>
    <row r="56" spans="1:9" ht="19" x14ac:dyDescent="0.3">
      <c r="B56" s="7"/>
    </row>
    <row r="57" spans="1:9" ht="19" x14ac:dyDescent="0.3">
      <c r="B57" s="7"/>
    </row>
    <row r="58" spans="1:9" ht="19" x14ac:dyDescent="0.3">
      <c r="B58" s="7"/>
    </row>
    <row r="59" spans="1:9" ht="19" x14ac:dyDescent="0.3">
      <c r="B59" s="7"/>
    </row>
    <row r="60" spans="1:9" ht="19" x14ac:dyDescent="0.3">
      <c r="B60" s="7"/>
    </row>
    <row r="61" spans="1:9" ht="19" x14ac:dyDescent="0.3">
      <c r="B61" s="7"/>
    </row>
  </sheetData>
  <mergeCells count="5">
    <mergeCell ref="A2:I2"/>
    <mergeCell ref="A3:I3"/>
    <mergeCell ref="D44:E44"/>
    <mergeCell ref="F50:I50"/>
    <mergeCell ref="A50:E50"/>
  </mergeCells>
  <pageMargins left="0.17" right="0.17" top="0.17" bottom="0.17" header="0.17" footer="0.18"/>
  <pageSetup scale="65"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60"/>
  <sheetViews>
    <sheetView workbookViewId="0">
      <selection activeCell="D9" sqref="D9"/>
    </sheetView>
  </sheetViews>
  <sheetFormatPr defaultColWidth="9.1796875" defaultRowHeight="13" x14ac:dyDescent="0.3"/>
  <cols>
    <col min="1" max="1" width="5.81640625" style="4" customWidth="1"/>
    <col min="2" max="2" width="23.453125" style="4" customWidth="1"/>
    <col min="3" max="3" width="13" style="10" customWidth="1"/>
    <col min="4" max="4" width="14.1796875" style="10" customWidth="1"/>
    <col min="5" max="5" width="14.81640625" style="10" customWidth="1"/>
    <col min="6" max="6" width="13.1796875" style="10" customWidth="1"/>
    <col min="7" max="7" width="14.453125" style="10" customWidth="1"/>
    <col min="8" max="8" width="13.1796875" style="10" customWidth="1"/>
    <col min="9" max="9" width="80.81640625" style="4" customWidth="1"/>
    <col min="10" max="10" width="28.1796875" style="4" customWidth="1"/>
    <col min="11" max="11" width="16.453125" style="4" customWidth="1"/>
    <col min="12" max="12" width="11.1796875" style="4" customWidth="1"/>
    <col min="13" max="13" width="11.54296875" style="4" bestFit="1" customWidth="1"/>
    <col min="14" max="14" width="27" style="4" customWidth="1"/>
    <col min="15" max="16384" width="9.1796875" style="4"/>
  </cols>
  <sheetData>
    <row r="1" spans="1:14" ht="47.25" customHeight="1" x14ac:dyDescent="0.3">
      <c r="A1" s="1"/>
    </row>
    <row r="2" spans="1:14" ht="32.25" customHeight="1" x14ac:dyDescent="0.3">
      <c r="A2" s="245" t="s">
        <v>39</v>
      </c>
      <c r="B2" s="245"/>
      <c r="C2" s="245"/>
      <c r="D2" s="245"/>
      <c r="E2" s="245"/>
      <c r="F2" s="245"/>
      <c r="G2" s="245"/>
      <c r="H2" s="245"/>
      <c r="I2" s="245"/>
    </row>
    <row r="3" spans="1:14" ht="23.25" customHeight="1" x14ac:dyDescent="0.45">
      <c r="A3" s="246" t="s">
        <v>92</v>
      </c>
      <c r="B3" s="246"/>
      <c r="C3" s="246"/>
      <c r="D3" s="246"/>
      <c r="E3" s="246"/>
      <c r="F3" s="246"/>
      <c r="G3" s="246"/>
      <c r="H3" s="246"/>
      <c r="I3" s="246"/>
    </row>
    <row r="4" spans="1:14" ht="23.25" customHeight="1" x14ac:dyDescent="0.45">
      <c r="A4" s="28"/>
      <c r="B4" s="28">
        <v>2019</v>
      </c>
      <c r="C4" s="29">
        <f>C10+C18+C19+C22+C20</f>
        <v>5664623.076923077</v>
      </c>
      <c r="D4" s="29">
        <f>D10+D12+D18+D19+D20</f>
        <v>6182700</v>
      </c>
      <c r="E4" s="29">
        <f>E10</f>
        <v>220000</v>
      </c>
      <c r="F4" s="29">
        <f>80000</f>
        <v>80000</v>
      </c>
      <c r="G4" s="29"/>
      <c r="H4" s="29"/>
      <c r="I4" s="28"/>
    </row>
    <row r="5" spans="1:14" ht="23.25" customHeight="1" x14ac:dyDescent="0.45">
      <c r="A5" s="28"/>
      <c r="B5" s="28">
        <v>2018</v>
      </c>
      <c r="C5" s="29">
        <v>5592392.307692308</v>
      </c>
      <c r="D5" s="29">
        <v>6035700</v>
      </c>
      <c r="E5" s="29">
        <v>215000</v>
      </c>
      <c r="F5" s="29">
        <v>80000</v>
      </c>
      <c r="G5" s="29"/>
      <c r="H5" s="29"/>
      <c r="I5" s="28"/>
    </row>
    <row r="6" spans="1:14" ht="23.25" customHeight="1" x14ac:dyDescent="0.45">
      <c r="A6" s="28"/>
      <c r="B6" s="28" t="s">
        <v>63</v>
      </c>
      <c r="C6" s="30">
        <f>C4-C5</f>
        <v>72230.769230769016</v>
      </c>
      <c r="D6" s="30">
        <f t="shared" ref="D6:F6" si="0">D4-D5</f>
        <v>147000</v>
      </c>
      <c r="E6" s="30">
        <f t="shared" si="0"/>
        <v>5000</v>
      </c>
      <c r="F6" s="30">
        <f t="shared" si="0"/>
        <v>0</v>
      </c>
      <c r="G6" s="30"/>
      <c r="H6" s="30"/>
      <c r="I6" s="28"/>
    </row>
    <row r="7" spans="1:14" ht="23.25" customHeight="1" x14ac:dyDescent="0.45">
      <c r="A7" s="28"/>
      <c r="B7" s="28"/>
      <c r="C7" s="30"/>
      <c r="D7" s="30"/>
      <c r="E7" s="30"/>
      <c r="F7" s="30"/>
      <c r="G7" s="30"/>
      <c r="H7" s="30"/>
      <c r="I7" s="28"/>
    </row>
    <row r="8" spans="1:14" ht="23.25" customHeight="1" x14ac:dyDescent="0.45">
      <c r="A8" s="28"/>
      <c r="B8" s="29"/>
      <c r="C8" s="29"/>
      <c r="D8" s="29"/>
      <c r="E8" s="29"/>
      <c r="F8" s="29"/>
      <c r="G8" s="29"/>
      <c r="H8" s="29"/>
      <c r="I8" s="28"/>
    </row>
    <row r="9" spans="1:14" s="6" customFormat="1" ht="81" customHeight="1" x14ac:dyDescent="0.35">
      <c r="A9" s="2" t="s">
        <v>23</v>
      </c>
      <c r="B9" s="3" t="s">
        <v>24</v>
      </c>
      <c r="C9" s="5" t="s">
        <v>0</v>
      </c>
      <c r="D9" s="9" t="s">
        <v>72</v>
      </c>
      <c r="E9" s="9" t="s">
        <v>32</v>
      </c>
      <c r="F9" s="9" t="s">
        <v>30</v>
      </c>
      <c r="G9" s="69" t="s">
        <v>80</v>
      </c>
      <c r="H9" s="69" t="s">
        <v>79</v>
      </c>
      <c r="I9" s="3" t="s">
        <v>25</v>
      </c>
      <c r="N9" s="8"/>
    </row>
    <row r="10" spans="1:14" s="12" customFormat="1" ht="43.5" customHeight="1" x14ac:dyDescent="0.35">
      <c r="A10" s="32">
        <v>1</v>
      </c>
      <c r="B10" s="33" t="s">
        <v>15</v>
      </c>
      <c r="C10" s="34">
        <f>4180000*1.07</f>
        <v>4472600</v>
      </c>
      <c r="D10" s="34">
        <f>20500*208</f>
        <v>4264000</v>
      </c>
      <c r="E10" s="34">
        <v>220000</v>
      </c>
      <c r="F10" s="34" t="s">
        <v>31</v>
      </c>
      <c r="G10" s="34">
        <f t="shared" ref="G10:H10" si="1">4180000*1.07</f>
        <v>4472600</v>
      </c>
      <c r="H10" s="34">
        <f t="shared" si="1"/>
        <v>4472600</v>
      </c>
      <c r="I10" s="20" t="s">
        <v>34</v>
      </c>
      <c r="J10" s="35"/>
      <c r="N10" s="36"/>
    </row>
    <row r="11" spans="1:14" s="12" customFormat="1" ht="21.75" customHeight="1" x14ac:dyDescent="0.35">
      <c r="A11" s="32">
        <f>A10+1</f>
        <v>2</v>
      </c>
      <c r="B11" s="33" t="s">
        <v>1</v>
      </c>
      <c r="C11" s="34">
        <f>C10</f>
        <v>4472600</v>
      </c>
      <c r="D11" s="34" t="s">
        <v>10</v>
      </c>
      <c r="E11" s="34" t="s">
        <v>10</v>
      </c>
      <c r="F11" s="34" t="s">
        <v>10</v>
      </c>
      <c r="G11" s="34" t="s">
        <v>10</v>
      </c>
      <c r="H11" s="34">
        <f>H10</f>
        <v>4472600</v>
      </c>
      <c r="I11" s="13"/>
      <c r="N11" s="36"/>
    </row>
    <row r="12" spans="1:14" s="12" customFormat="1" ht="26.25" customHeight="1" x14ac:dyDescent="0.35">
      <c r="A12" s="32">
        <f t="shared" ref="A12:A41" si="2">A11+1</f>
        <v>3</v>
      </c>
      <c r="B12" s="33" t="s">
        <v>16</v>
      </c>
      <c r="C12" s="34" t="s">
        <v>10</v>
      </c>
      <c r="D12" s="57">
        <f>4180000*21.5%</f>
        <v>898700</v>
      </c>
      <c r="E12" s="34" t="s">
        <v>10</v>
      </c>
      <c r="F12" s="34" t="s">
        <v>10</v>
      </c>
      <c r="G12" s="34"/>
      <c r="H12" s="34"/>
      <c r="I12" s="13" t="s">
        <v>93</v>
      </c>
      <c r="N12" s="36"/>
    </row>
    <row r="13" spans="1:14" s="12" customFormat="1" ht="35.25" customHeight="1" x14ac:dyDescent="0.35">
      <c r="A13" s="32">
        <f t="shared" si="2"/>
        <v>4</v>
      </c>
      <c r="B13" s="21" t="s">
        <v>36</v>
      </c>
      <c r="C13" s="37">
        <f>C10/26/8</f>
        <v>21502.884615384617</v>
      </c>
      <c r="D13" s="37">
        <f>D10/26/8</f>
        <v>20500</v>
      </c>
      <c r="E13" s="37">
        <f>E10/8</f>
        <v>27500</v>
      </c>
      <c r="F13" s="37"/>
      <c r="G13" s="37">
        <f>G10/26/8</f>
        <v>21502.884615384617</v>
      </c>
      <c r="H13" s="37">
        <f>H10/26/8</f>
        <v>21502.884615384617</v>
      </c>
      <c r="I13" s="21" t="s">
        <v>35</v>
      </c>
      <c r="N13" s="36"/>
    </row>
    <row r="14" spans="1:14" s="12" customFormat="1" ht="43.5" customHeight="1" x14ac:dyDescent="0.35">
      <c r="A14" s="32">
        <f t="shared" si="2"/>
        <v>5</v>
      </c>
      <c r="B14" s="22" t="s">
        <v>37</v>
      </c>
      <c r="C14" s="32" t="s">
        <v>38</v>
      </c>
      <c r="D14" s="32" t="s">
        <v>38</v>
      </c>
      <c r="E14" s="38" t="s">
        <v>27</v>
      </c>
      <c r="F14" s="38"/>
      <c r="G14" s="32" t="s">
        <v>38</v>
      </c>
      <c r="H14" s="32" t="s">
        <v>38</v>
      </c>
      <c r="I14" s="23" t="s">
        <v>73</v>
      </c>
      <c r="N14" s="36"/>
    </row>
    <row r="15" spans="1:14" s="12" customFormat="1" ht="59.25" customHeight="1" x14ac:dyDescent="0.35">
      <c r="A15" s="32">
        <f t="shared" si="2"/>
        <v>6</v>
      </c>
      <c r="B15" s="39" t="s">
        <v>2</v>
      </c>
      <c r="C15" s="32">
        <v>2</v>
      </c>
      <c r="D15" s="32">
        <v>2</v>
      </c>
      <c r="E15" s="32" t="s">
        <v>28</v>
      </c>
      <c r="F15" s="32"/>
      <c r="G15" s="32">
        <v>2</v>
      </c>
      <c r="H15" s="32">
        <v>2</v>
      </c>
      <c r="I15" s="23" t="s">
        <v>75</v>
      </c>
      <c r="N15" s="36"/>
    </row>
    <row r="16" spans="1:14" s="12" customFormat="1" ht="52.5" customHeight="1" x14ac:dyDescent="0.35">
      <c r="A16" s="32">
        <f t="shared" si="2"/>
        <v>7</v>
      </c>
      <c r="B16" s="33" t="s">
        <v>3</v>
      </c>
      <c r="C16" s="32">
        <v>3</v>
      </c>
      <c r="D16" s="32">
        <v>3</v>
      </c>
      <c r="E16" s="32" t="s">
        <v>29</v>
      </c>
      <c r="F16" s="32"/>
      <c r="G16" s="32">
        <v>3</v>
      </c>
      <c r="H16" s="32">
        <v>3</v>
      </c>
      <c r="I16" s="23" t="s">
        <v>74</v>
      </c>
    </row>
    <row r="17" spans="1:13" s="12" customFormat="1" ht="28.5" x14ac:dyDescent="0.35">
      <c r="A17" s="32">
        <f t="shared" si="2"/>
        <v>8</v>
      </c>
      <c r="B17" s="22" t="s">
        <v>40</v>
      </c>
      <c r="C17" s="24">
        <v>0.3</v>
      </c>
      <c r="D17" s="24">
        <v>0.3</v>
      </c>
      <c r="E17" s="24">
        <v>0.3</v>
      </c>
      <c r="F17" s="32"/>
      <c r="G17" s="32">
        <v>0.3</v>
      </c>
      <c r="H17" s="32">
        <v>0.3</v>
      </c>
      <c r="I17" s="23" t="s">
        <v>41</v>
      </c>
    </row>
    <row r="18" spans="1:13" s="12" customFormat="1" ht="46.5" x14ac:dyDescent="0.35">
      <c r="A18" s="32">
        <f t="shared" si="2"/>
        <v>9</v>
      </c>
      <c r="B18" s="33" t="s">
        <v>42</v>
      </c>
      <c r="C18" s="40">
        <v>520000</v>
      </c>
      <c r="D18" s="40">
        <v>520000</v>
      </c>
      <c r="E18" s="34" t="s">
        <v>71</v>
      </c>
      <c r="F18" s="40"/>
      <c r="G18" s="40">
        <v>520000</v>
      </c>
      <c r="H18" s="40">
        <v>520000</v>
      </c>
      <c r="I18" s="13" t="s">
        <v>18</v>
      </c>
    </row>
    <row r="19" spans="1:13" s="12" customFormat="1" ht="124" x14ac:dyDescent="0.35">
      <c r="A19" s="32">
        <f t="shared" si="2"/>
        <v>10</v>
      </c>
      <c r="B19" s="41" t="s">
        <v>43</v>
      </c>
      <c r="C19" s="42">
        <v>200000</v>
      </c>
      <c r="D19" s="42">
        <v>200000</v>
      </c>
      <c r="E19" s="42" t="s">
        <v>10</v>
      </c>
      <c r="F19" s="42"/>
      <c r="G19" s="42">
        <v>200000</v>
      </c>
      <c r="H19" s="42">
        <v>200000</v>
      </c>
      <c r="I19" s="15" t="s">
        <v>81</v>
      </c>
      <c r="J19" s="14"/>
    </row>
    <row r="20" spans="1:13" s="12" customFormat="1" ht="77.5" x14ac:dyDescent="0.35">
      <c r="A20" s="32">
        <f t="shared" si="2"/>
        <v>11</v>
      </c>
      <c r="B20" s="43" t="s">
        <v>45</v>
      </c>
      <c r="C20" s="42">
        <v>300000</v>
      </c>
      <c r="D20" s="42">
        <v>300000</v>
      </c>
      <c r="E20" s="42" t="s">
        <v>10</v>
      </c>
      <c r="F20" s="42"/>
      <c r="G20" s="42">
        <v>1000000</v>
      </c>
      <c r="H20" s="42">
        <v>1500000</v>
      </c>
      <c r="I20" s="15" t="s">
        <v>44</v>
      </c>
      <c r="J20" s="12">
        <f>1000000-898700</f>
        <v>101300</v>
      </c>
    </row>
    <row r="21" spans="1:13" s="12" customFormat="1" ht="62" x14ac:dyDescent="0.35">
      <c r="A21" s="32">
        <f t="shared" si="2"/>
        <v>12</v>
      </c>
      <c r="B21" s="15" t="s">
        <v>17</v>
      </c>
      <c r="C21" s="42" t="s">
        <v>9</v>
      </c>
      <c r="D21" s="42" t="s">
        <v>10</v>
      </c>
      <c r="E21" s="42" t="s">
        <v>10</v>
      </c>
      <c r="F21" s="42" t="s">
        <v>10</v>
      </c>
      <c r="G21" s="42" t="s">
        <v>10</v>
      </c>
      <c r="H21" s="42" t="s">
        <v>10</v>
      </c>
      <c r="I21" s="44" t="s">
        <v>76</v>
      </c>
    </row>
    <row r="22" spans="1:13" s="12" customFormat="1" ht="31" x14ac:dyDescent="0.35">
      <c r="A22" s="32">
        <f t="shared" si="2"/>
        <v>13</v>
      </c>
      <c r="B22" s="45" t="s">
        <v>13</v>
      </c>
      <c r="C22" s="46">
        <f>C10/26</f>
        <v>172023.07692307694</v>
      </c>
      <c r="D22" s="42" t="s">
        <v>10</v>
      </c>
      <c r="E22" s="42" t="s">
        <v>10</v>
      </c>
      <c r="F22" s="42" t="s">
        <v>10</v>
      </c>
      <c r="G22" s="42" t="s">
        <v>10</v>
      </c>
      <c r="H22" s="46">
        <f>H10/26</f>
        <v>172023.07692307694</v>
      </c>
      <c r="I22" s="13" t="s">
        <v>46</v>
      </c>
    </row>
    <row r="23" spans="1:13" s="12" customFormat="1" ht="31" x14ac:dyDescent="0.35">
      <c r="A23" s="32">
        <f t="shared" si="2"/>
        <v>14</v>
      </c>
      <c r="B23" s="47" t="s">
        <v>33</v>
      </c>
      <c r="C23" s="46" t="s">
        <v>64</v>
      </c>
      <c r="D23" s="42" t="s">
        <v>10</v>
      </c>
      <c r="E23" s="42" t="s">
        <v>10</v>
      </c>
      <c r="F23" s="42" t="s">
        <v>10</v>
      </c>
      <c r="G23" s="42" t="s">
        <v>10</v>
      </c>
      <c r="H23" s="46" t="s">
        <v>64</v>
      </c>
      <c r="I23" s="13" t="s">
        <v>70</v>
      </c>
      <c r="J23" s="36">
        <f>150000*12</f>
        <v>1800000</v>
      </c>
      <c r="K23" s="36">
        <f>4472600-J23</f>
        <v>2672600</v>
      </c>
      <c r="L23" s="36"/>
      <c r="M23" s="48"/>
    </row>
    <row r="24" spans="1:13" s="12" customFormat="1" ht="31" x14ac:dyDescent="0.35">
      <c r="A24" s="32">
        <f t="shared" si="2"/>
        <v>15</v>
      </c>
      <c r="B24" s="49" t="s">
        <v>14</v>
      </c>
      <c r="C24" s="46" t="s">
        <v>9</v>
      </c>
      <c r="D24" s="42" t="s">
        <v>10</v>
      </c>
      <c r="E24" s="42" t="s">
        <v>10</v>
      </c>
      <c r="F24" s="42" t="s">
        <v>10</v>
      </c>
      <c r="G24" s="42" t="s">
        <v>10</v>
      </c>
      <c r="H24" s="42" t="s">
        <v>10</v>
      </c>
      <c r="I24" s="13" t="s">
        <v>94</v>
      </c>
    </row>
    <row r="25" spans="1:13" s="12" customFormat="1" ht="84.5" x14ac:dyDescent="0.35">
      <c r="A25" s="32">
        <f t="shared" si="2"/>
        <v>16</v>
      </c>
      <c r="B25" s="21" t="s">
        <v>47</v>
      </c>
      <c r="C25" s="50" t="s">
        <v>9</v>
      </c>
      <c r="D25" s="42" t="s">
        <v>10</v>
      </c>
      <c r="E25" s="42" t="s">
        <v>10</v>
      </c>
      <c r="F25" s="42" t="s">
        <v>10</v>
      </c>
      <c r="G25" s="42" t="s">
        <v>10</v>
      </c>
      <c r="H25" s="50" t="s">
        <v>9</v>
      </c>
      <c r="I25" s="21" t="s">
        <v>60</v>
      </c>
    </row>
    <row r="26" spans="1:13" s="12" customFormat="1" ht="187.5" x14ac:dyDescent="0.35">
      <c r="A26" s="32">
        <f t="shared" si="2"/>
        <v>17</v>
      </c>
      <c r="B26" s="33" t="s">
        <v>4</v>
      </c>
      <c r="C26" s="32"/>
      <c r="D26" s="32"/>
      <c r="E26" s="32"/>
      <c r="F26" s="32"/>
      <c r="G26" s="32"/>
      <c r="H26" s="32"/>
      <c r="I26" s="31" t="s">
        <v>77</v>
      </c>
      <c r="J26" s="36"/>
    </row>
    <row r="27" spans="1:13" s="53" customFormat="1" ht="15.5" x14ac:dyDescent="0.35">
      <c r="A27" s="32">
        <f t="shared" si="2"/>
        <v>18</v>
      </c>
      <c r="B27" s="51" t="s">
        <v>5</v>
      </c>
      <c r="C27" s="32"/>
      <c r="D27" s="32"/>
      <c r="E27" s="32"/>
      <c r="F27" s="32"/>
      <c r="G27" s="32"/>
      <c r="H27" s="32"/>
      <c r="I27" s="52" t="s">
        <v>6</v>
      </c>
    </row>
    <row r="28" spans="1:13" s="53" customFormat="1" ht="15.5" x14ac:dyDescent="0.35">
      <c r="A28" s="32">
        <f t="shared" si="2"/>
        <v>19</v>
      </c>
      <c r="B28" s="22" t="s">
        <v>48</v>
      </c>
      <c r="C28" s="32"/>
      <c r="D28" s="32"/>
      <c r="E28" s="32"/>
      <c r="F28" s="32"/>
      <c r="G28" s="32"/>
      <c r="H28" s="32"/>
      <c r="I28" s="21" t="s">
        <v>49</v>
      </c>
    </row>
    <row r="29" spans="1:13" s="12" customFormat="1" ht="46.5" x14ac:dyDescent="0.35">
      <c r="A29" s="32">
        <f t="shared" si="2"/>
        <v>20</v>
      </c>
      <c r="B29" s="13" t="s">
        <v>7</v>
      </c>
      <c r="C29" s="34" t="s">
        <v>8</v>
      </c>
      <c r="D29" s="34" t="s">
        <v>10</v>
      </c>
      <c r="E29" s="34" t="s">
        <v>10</v>
      </c>
      <c r="F29" s="34" t="s">
        <v>10</v>
      </c>
      <c r="G29" s="34" t="s">
        <v>10</v>
      </c>
      <c r="H29" s="34" t="s">
        <v>8</v>
      </c>
      <c r="I29" s="14" t="s">
        <v>78</v>
      </c>
    </row>
    <row r="30" spans="1:13" s="12" customFormat="1" ht="31" x14ac:dyDescent="0.35">
      <c r="A30" s="32">
        <f t="shared" si="2"/>
        <v>21</v>
      </c>
      <c r="B30" s="13" t="s">
        <v>19</v>
      </c>
      <c r="C30" s="34" t="s">
        <v>9</v>
      </c>
      <c r="D30" s="42" t="s">
        <v>10</v>
      </c>
      <c r="E30" s="42" t="s">
        <v>10</v>
      </c>
      <c r="F30" s="42" t="s">
        <v>10</v>
      </c>
      <c r="G30" s="42" t="s">
        <v>10</v>
      </c>
      <c r="H30" s="34" t="s">
        <v>9</v>
      </c>
      <c r="I30" s="21" t="s">
        <v>50</v>
      </c>
    </row>
    <row r="31" spans="1:13" s="12" customFormat="1" ht="15.5" x14ac:dyDescent="0.35">
      <c r="A31" s="32">
        <f t="shared" si="2"/>
        <v>22</v>
      </c>
      <c r="B31" s="33" t="s">
        <v>51</v>
      </c>
      <c r="C31" s="42" t="s">
        <v>10</v>
      </c>
      <c r="D31" s="42" t="s">
        <v>10</v>
      </c>
      <c r="E31" s="42" t="s">
        <v>10</v>
      </c>
      <c r="F31" s="42" t="s">
        <v>10</v>
      </c>
      <c r="G31" s="42"/>
      <c r="H31" s="42"/>
      <c r="I31" s="13"/>
    </row>
    <row r="32" spans="1:13" s="12" customFormat="1" ht="15.5" x14ac:dyDescent="0.35">
      <c r="A32" s="32">
        <f t="shared" si="2"/>
        <v>23</v>
      </c>
      <c r="B32" s="33" t="s">
        <v>11</v>
      </c>
      <c r="C32" s="54">
        <v>200000</v>
      </c>
      <c r="D32" s="54">
        <v>200000</v>
      </c>
      <c r="E32" s="54" t="s">
        <v>10</v>
      </c>
      <c r="F32" s="54" t="s">
        <v>10</v>
      </c>
      <c r="G32" s="54">
        <v>200000</v>
      </c>
      <c r="H32" s="54">
        <v>200000</v>
      </c>
      <c r="I32" s="14" t="s">
        <v>12</v>
      </c>
    </row>
    <row r="33" spans="1:9" s="12" customFormat="1" ht="15.5" x14ac:dyDescent="0.35">
      <c r="A33" s="32">
        <f t="shared" si="2"/>
        <v>24</v>
      </c>
      <c r="B33" s="33" t="s">
        <v>68</v>
      </c>
      <c r="C33" s="55"/>
      <c r="D33" s="42"/>
      <c r="E33" s="42"/>
      <c r="F33" s="42"/>
      <c r="G33" s="42"/>
      <c r="H33" s="42"/>
      <c r="I33" s="21" t="s">
        <v>52</v>
      </c>
    </row>
    <row r="34" spans="1:9" s="12" customFormat="1" ht="28.5" x14ac:dyDescent="0.35">
      <c r="A34" s="32">
        <f t="shared" si="2"/>
        <v>25</v>
      </c>
      <c r="B34" s="33" t="s">
        <v>20</v>
      </c>
      <c r="C34" s="55" t="s">
        <v>9</v>
      </c>
      <c r="D34" s="42" t="s">
        <v>10</v>
      </c>
      <c r="E34" s="42" t="s">
        <v>10</v>
      </c>
      <c r="F34" s="42" t="s">
        <v>10</v>
      </c>
      <c r="G34" s="42" t="s">
        <v>10</v>
      </c>
      <c r="H34" s="55" t="s">
        <v>9</v>
      </c>
      <c r="I34" s="21" t="s">
        <v>95</v>
      </c>
    </row>
    <row r="35" spans="1:9" s="12" customFormat="1" ht="28.5" x14ac:dyDescent="0.35">
      <c r="A35" s="32">
        <f t="shared" si="2"/>
        <v>26</v>
      </c>
      <c r="B35" s="33" t="s">
        <v>21</v>
      </c>
      <c r="C35" s="55" t="s">
        <v>9</v>
      </c>
      <c r="D35" s="42" t="s">
        <v>10</v>
      </c>
      <c r="E35" s="42" t="s">
        <v>10</v>
      </c>
      <c r="F35" s="42" t="s">
        <v>10</v>
      </c>
      <c r="G35" s="42" t="s">
        <v>10</v>
      </c>
      <c r="H35" s="55" t="s">
        <v>9</v>
      </c>
      <c r="I35" s="21" t="s">
        <v>53</v>
      </c>
    </row>
    <row r="36" spans="1:9" s="12" customFormat="1" ht="42.5" x14ac:dyDescent="0.35">
      <c r="A36" s="32">
        <f t="shared" si="2"/>
        <v>27</v>
      </c>
      <c r="B36" s="33" t="s">
        <v>22</v>
      </c>
      <c r="C36" s="55" t="s">
        <v>9</v>
      </c>
      <c r="D36" s="42" t="s">
        <v>10</v>
      </c>
      <c r="E36" s="42" t="s">
        <v>10</v>
      </c>
      <c r="F36" s="42" t="s">
        <v>10</v>
      </c>
      <c r="G36" s="42" t="s">
        <v>10</v>
      </c>
      <c r="H36" s="55" t="s">
        <v>9</v>
      </c>
      <c r="I36" s="21" t="s">
        <v>54</v>
      </c>
    </row>
    <row r="37" spans="1:9" s="12" customFormat="1" ht="56.5" x14ac:dyDescent="0.35">
      <c r="A37" s="32">
        <f t="shared" si="2"/>
        <v>28</v>
      </c>
      <c r="B37" s="22" t="s">
        <v>55</v>
      </c>
      <c r="C37" s="42" t="s">
        <v>9</v>
      </c>
      <c r="D37" s="42" t="s">
        <v>10</v>
      </c>
      <c r="E37" s="42" t="s">
        <v>10</v>
      </c>
      <c r="F37" s="42" t="s">
        <v>10</v>
      </c>
      <c r="G37" s="42" t="s">
        <v>10</v>
      </c>
      <c r="H37" s="42" t="s">
        <v>9</v>
      </c>
      <c r="I37" s="56" t="s">
        <v>69</v>
      </c>
    </row>
    <row r="38" spans="1:9" s="12" customFormat="1" ht="15.5" x14ac:dyDescent="0.35">
      <c r="A38" s="32">
        <f t="shared" si="2"/>
        <v>29</v>
      </c>
      <c r="B38" s="22" t="s">
        <v>56</v>
      </c>
      <c r="C38" s="42" t="s">
        <v>10</v>
      </c>
      <c r="D38" s="42" t="s">
        <v>10</v>
      </c>
      <c r="E38" s="42" t="s">
        <v>10</v>
      </c>
      <c r="F38" s="42" t="s">
        <v>10</v>
      </c>
      <c r="G38" s="42" t="s">
        <v>10</v>
      </c>
      <c r="H38" s="42" t="s">
        <v>10</v>
      </c>
      <c r="I38" s="21"/>
    </row>
    <row r="39" spans="1:9" s="12" customFormat="1" ht="15.5" x14ac:dyDescent="0.35">
      <c r="A39" s="32">
        <f t="shared" si="2"/>
        <v>30</v>
      </c>
      <c r="B39" s="22" t="s">
        <v>57</v>
      </c>
      <c r="C39" s="42" t="s">
        <v>9</v>
      </c>
      <c r="D39" s="42" t="s">
        <v>10</v>
      </c>
      <c r="E39" s="42" t="s">
        <v>10</v>
      </c>
      <c r="F39" s="42" t="s">
        <v>10</v>
      </c>
      <c r="G39" s="42" t="s">
        <v>10</v>
      </c>
      <c r="H39" s="42" t="s">
        <v>9</v>
      </c>
      <c r="I39" s="21" t="s">
        <v>67</v>
      </c>
    </row>
    <row r="40" spans="1:9" s="12" customFormat="1" ht="15.5" x14ac:dyDescent="0.35">
      <c r="A40" s="32">
        <f t="shared" si="2"/>
        <v>31</v>
      </c>
      <c r="B40" s="22" t="s">
        <v>58</v>
      </c>
      <c r="C40" s="42" t="s">
        <v>9</v>
      </c>
      <c r="D40" s="42" t="s">
        <v>9</v>
      </c>
      <c r="E40" s="42" t="s">
        <v>10</v>
      </c>
      <c r="F40" s="42" t="s">
        <v>10</v>
      </c>
      <c r="G40" s="42" t="s">
        <v>9</v>
      </c>
      <c r="H40" s="42" t="s">
        <v>9</v>
      </c>
      <c r="I40" s="21" t="s">
        <v>65</v>
      </c>
    </row>
    <row r="41" spans="1:9" s="12" customFormat="1" ht="15.5" x14ac:dyDescent="0.35">
      <c r="A41" s="61">
        <f t="shared" si="2"/>
        <v>32</v>
      </c>
      <c r="B41" s="62" t="s">
        <v>59</v>
      </c>
      <c r="C41" s="63" t="s">
        <v>9</v>
      </c>
      <c r="D41" s="63" t="s">
        <v>9</v>
      </c>
      <c r="E41" s="63" t="s">
        <v>10</v>
      </c>
      <c r="F41" s="63" t="s">
        <v>10</v>
      </c>
      <c r="G41" s="63" t="s">
        <v>9</v>
      </c>
      <c r="H41" s="63" t="s">
        <v>9</v>
      </c>
      <c r="I41" s="64" t="s">
        <v>66</v>
      </c>
    </row>
    <row r="42" spans="1:9" s="65" customFormat="1" ht="15.5" x14ac:dyDescent="0.35">
      <c r="A42" s="66"/>
      <c r="B42" s="67"/>
      <c r="C42" s="68"/>
      <c r="D42" s="59"/>
      <c r="E42" s="59"/>
      <c r="F42" s="59"/>
      <c r="G42" s="59"/>
      <c r="H42" s="59"/>
      <c r="I42" s="60"/>
    </row>
    <row r="43" spans="1:9" s="25" customFormat="1" ht="14" x14ac:dyDescent="0.3">
      <c r="B43" s="25" t="s">
        <v>61</v>
      </c>
      <c r="C43" s="58" t="s">
        <v>62</v>
      </c>
      <c r="D43" s="298" t="s">
        <v>84</v>
      </c>
      <c r="E43" s="298"/>
      <c r="F43" s="25" t="s">
        <v>82</v>
      </c>
    </row>
    <row r="44" spans="1:9" x14ac:dyDescent="0.3">
      <c r="C44" s="26"/>
      <c r="D44" s="27"/>
    </row>
    <row r="45" spans="1:9" x14ac:dyDescent="0.3">
      <c r="C45" s="27"/>
      <c r="D45" s="27"/>
    </row>
    <row r="46" spans="1:9" x14ac:dyDescent="0.3">
      <c r="C46" s="17">
        <f>C10-4012500</f>
        <v>460100</v>
      </c>
      <c r="D46" s="18"/>
      <c r="E46" s="11"/>
      <c r="F46" s="11"/>
      <c r="G46" s="11"/>
      <c r="H46" s="11"/>
    </row>
    <row r="47" spans="1:9" x14ac:dyDescent="0.3">
      <c r="C47" s="17">
        <f>(4258000-4012500)/26</f>
        <v>9442.3076923076915</v>
      </c>
      <c r="D47" s="16" t="s">
        <v>26</v>
      </c>
    </row>
    <row r="48" spans="1:9" x14ac:dyDescent="0.3">
      <c r="C48" s="19">
        <f>SUM(C46:C47)</f>
        <v>469542.30769230769</v>
      </c>
      <c r="D48" s="16"/>
    </row>
    <row r="49" spans="1:9" s="12" customFormat="1" ht="15.5" x14ac:dyDescent="0.35">
      <c r="A49" s="244" t="s">
        <v>83</v>
      </c>
      <c r="B49" s="244"/>
      <c r="C49" s="244"/>
      <c r="D49" s="244"/>
      <c r="E49" s="244"/>
      <c r="F49" s="244" t="s">
        <v>85</v>
      </c>
      <c r="G49" s="244"/>
      <c r="H49" s="244"/>
      <c r="I49" s="244"/>
    </row>
    <row r="50" spans="1:9" ht="19" x14ac:dyDescent="0.3">
      <c r="B50" s="7"/>
    </row>
    <row r="51" spans="1:9" ht="19" x14ac:dyDescent="0.3">
      <c r="B51" s="7"/>
    </row>
    <row r="52" spans="1:9" ht="19" x14ac:dyDescent="0.3">
      <c r="B52" s="7"/>
      <c r="G52" s="11"/>
      <c r="H52" s="11"/>
    </row>
    <row r="53" spans="1:9" ht="19" x14ac:dyDescent="0.3">
      <c r="B53" s="7"/>
    </row>
    <row r="54" spans="1:9" ht="19" x14ac:dyDescent="0.3">
      <c r="B54" s="7"/>
    </row>
    <row r="55" spans="1:9" ht="19" x14ac:dyDescent="0.3">
      <c r="B55" s="7"/>
    </row>
    <row r="56" spans="1:9" ht="19" x14ac:dyDescent="0.3">
      <c r="B56" s="7"/>
    </row>
    <row r="57" spans="1:9" ht="19" x14ac:dyDescent="0.3">
      <c r="B57" s="7"/>
    </row>
    <row r="58" spans="1:9" ht="19" x14ac:dyDescent="0.3">
      <c r="B58" s="7"/>
    </row>
    <row r="59" spans="1:9" ht="19" x14ac:dyDescent="0.3">
      <c r="B59" s="7"/>
    </row>
    <row r="60" spans="1:9" ht="19" x14ac:dyDescent="0.3">
      <c r="B60" s="7"/>
    </row>
  </sheetData>
  <mergeCells count="5">
    <mergeCell ref="A2:I2"/>
    <mergeCell ref="A3:I3"/>
    <mergeCell ref="D43:E43"/>
    <mergeCell ref="A49:E49"/>
    <mergeCell ref="F49:I4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CHE DO 2025)</vt:lpstr>
      <vt:lpstr>LABOR COST </vt:lpstr>
      <vt:lpstr>CHE DO 2024</vt:lpstr>
      <vt:lpstr>QUY CHE 2026</vt:lpstr>
      <vt:lpstr>Sheet1</vt:lpstr>
      <vt:lpstr>CD TUYEN DUNG</vt:lpstr>
      <vt:lpstr>CHE DO 2020</vt:lpstr>
      <vt:lpstr>NAM 2019</vt:lpstr>
      <vt:lpstr>'QUY CHE 2026'!Print_Area</vt:lpstr>
      <vt:lpstr>'CHE DO 2020'!Print_Titles</vt:lpstr>
      <vt:lpstr>'CHE DO 2024'!Print_Titles</vt:lpstr>
      <vt:lpstr>'CHE DO 2025)'!Print_Titles</vt:lpstr>
      <vt:lpstr>'QUY CHE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NUNT</dc:creator>
  <cp:lastModifiedBy>USER</cp:lastModifiedBy>
  <cp:lastPrinted>2026-07-31T00:51:53Z</cp:lastPrinted>
  <dcterms:created xsi:type="dcterms:W3CDTF">2017-08-07T03:38:39Z</dcterms:created>
  <dcterms:modified xsi:type="dcterms:W3CDTF">2026-07-31T01:21:58Z</dcterms:modified>
</cp:coreProperties>
</file>